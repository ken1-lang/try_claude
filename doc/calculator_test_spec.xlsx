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概要" sheetId="1" state="visible" r:id="rId3"/>
    <sheet name="テスト項目" sheetId="2" state="visible" r:id="rId4"/>
  </sheets>
  <definedNames>
    <definedName function="false" hidden="false" localSheetId="1" name="_xlnm.Print_Titles" vbProcedure="false">テスト項目!$1:$1</definedName>
    <definedName function="false" hidden="true" localSheetId="1" name="_xlnm._FilterDatabase" vbProcedure="false">テスト項目!$A$1:$J$93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<sst xmlns="http://schemas.openxmlformats.org/spreadsheetml/2006/main" count="765" uniqueCount="479">
  <si>
    <t xml:space="preserve">電卓アプリ テスト仕様書兼結果表</t>
  </si>
  <si>
    <t xml:space="preserve">対象</t>
  </si>
  <si>
    <r>
      <rPr>
        <sz val="10"/>
        <rFont val="WenQuanYi Zen Hei"/>
        <family val="2"/>
      </rPr>
      <t xml:space="preserve">電卓アプリ</t>
    </r>
    <r>
      <rPr>
        <sz val="10"/>
        <rFont val="Meiryo"/>
        <family val="0"/>
        <charset val="1"/>
      </rPr>
      <t xml:space="preserve">(index.html)</t>
    </r>
  </si>
  <si>
    <t xml:space="preserve">対象バージョン</t>
  </si>
  <si>
    <r>
      <rPr>
        <sz val="10"/>
        <rFont val="WenQuanYi Zen Hei"/>
        <family val="2"/>
      </rPr>
      <t xml:space="preserve">ブランチ </t>
    </r>
    <r>
      <rPr>
        <sz val="10"/>
        <rFont val="Meiryo"/>
        <family val="0"/>
        <charset val="1"/>
      </rPr>
      <t xml:space="preserve">claude/hopeful-bardeen-y6dbb7(</t>
    </r>
    <r>
      <rPr>
        <sz val="10"/>
        <rFont val="WenQuanYi Zen Hei"/>
        <family val="2"/>
      </rPr>
      <t xml:space="preserve">コミット </t>
    </r>
    <r>
      <rPr>
        <sz val="10"/>
        <rFont val="Meiryo"/>
        <family val="0"/>
        <charset val="1"/>
      </rPr>
      <t xml:space="preserve">16554e3 </t>
    </r>
    <r>
      <rPr>
        <sz val="10"/>
        <rFont val="WenQuanYi Zen Hei"/>
        <family val="2"/>
      </rPr>
      <t xml:space="preserve">時点の </t>
    </r>
    <r>
      <rPr>
        <sz val="10"/>
        <rFont val="Meiryo"/>
        <family val="0"/>
        <charset val="1"/>
      </rPr>
      <t xml:space="preserve">index.html)</t>
    </r>
  </si>
  <si>
    <r>
      <rPr>
        <b val="true"/>
        <sz val="10"/>
        <rFont val="WenQuanYi Zen Hei"/>
        <family val="2"/>
      </rPr>
      <t xml:space="preserve">公開</t>
    </r>
    <r>
      <rPr>
        <b val="true"/>
        <sz val="10"/>
        <rFont val="Meiryo"/>
        <family val="0"/>
        <charset val="1"/>
      </rPr>
      <t xml:space="preserve">URL</t>
    </r>
  </si>
  <si>
    <t xml:space="preserve">https://ken1-lang.github.io/try_claude/</t>
  </si>
  <si>
    <t xml:space="preserve">対象機能</t>
  </si>
  <si>
    <r>
      <rPr>
        <sz val="10"/>
        <rFont val="WenQuanYi Zen Hei"/>
        <family val="2"/>
      </rPr>
      <t xml:space="preserve">四則演算、クリア、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文字削除、パーセント、履歴</t>
    </r>
    <r>
      <rPr>
        <sz val="10"/>
        <rFont val="Meiryo"/>
        <family val="0"/>
        <charset val="1"/>
      </rPr>
      <t xml:space="preserve">(CSV</t>
    </r>
    <r>
      <rPr>
        <sz val="10"/>
        <rFont val="WenQuanYi Zen Hei"/>
        <family val="2"/>
      </rPr>
      <t xml:space="preserve">ダウンロード含む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、消費税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税込計算・税率設定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、キーボード操作</t>
    </r>
  </si>
  <si>
    <t xml:space="preserve">テスト環境</t>
  </si>
  <si>
    <r>
      <rPr>
        <sz val="10"/>
        <rFont val="Meiryo"/>
        <family val="0"/>
        <charset val="1"/>
      </rPr>
      <t xml:space="preserve">Chromium 141.0.7390.37(Playwright </t>
    </r>
    <r>
      <rPr>
        <sz val="10"/>
        <rFont val="WenQuanYi Zen Hei"/>
        <family val="2"/>
      </rPr>
      <t xml:space="preserve">による自動操作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。画面サイズ </t>
    </r>
    <r>
      <rPr>
        <sz val="10"/>
        <rFont val="Meiryo"/>
        <family val="0"/>
        <charset val="1"/>
      </rPr>
      <t xml:space="preserve">800×900(</t>
    </r>
    <r>
      <rPr>
        <sz val="10"/>
        <rFont val="WenQuanYi Zen Hei"/>
        <family val="2"/>
      </rPr>
      <t xml:space="preserve">スマホ幅確認のみ </t>
    </r>
    <r>
      <rPr>
        <sz val="10"/>
        <rFont val="Meiryo"/>
        <family val="0"/>
        <charset val="1"/>
      </rPr>
      <t xml:space="preserve">360×640)</t>
    </r>
    <r>
      <rPr>
        <sz val="10"/>
        <rFont val="WenQuanYi Zen Hei"/>
        <family val="2"/>
      </rPr>
      <t xml:space="preserve">。対象</t>
    </r>
    <r>
      <rPr>
        <sz val="10"/>
        <rFont val="Meiryo"/>
        <family val="0"/>
        <charset val="1"/>
      </rPr>
      <t xml:space="preserve">: file:///home/user/try_claude/index.html</t>
    </r>
  </si>
  <si>
    <t xml:space="preserve">実施日</t>
  </si>
  <si>
    <t xml:space="preserve">実施方法</t>
  </si>
  <si>
    <r>
      <rPr>
        <sz val="10"/>
        <rFont val="WenQuanYi Zen Hei"/>
        <family val="2"/>
      </rPr>
      <t xml:space="preserve">各項目の操作手順をブラウザ上のボタン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キーボード操作で自動実行し、画面の表示を期待結果と照合した。各テストは新しいブラウザ環境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履歴なし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から開始</t>
    </r>
  </si>
  <si>
    <t xml:space="preserve">未実施の項目</t>
  </si>
  <si>
    <r>
      <rPr>
        <sz val="10"/>
        <rFont val="Meiryo"/>
        <family val="0"/>
        <charset val="1"/>
      </rPr>
      <t xml:space="preserve">Edge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</t>
    </r>
    <r>
      <rPr>
        <sz val="10"/>
        <rFont val="WenQuanYi Zen Hei"/>
        <family val="2"/>
      </rPr>
      <t xml:space="preserve">、公開</t>
    </r>
    <r>
      <rPr>
        <sz val="10"/>
        <rFont val="Meiryo"/>
        <family val="0"/>
        <charset val="1"/>
      </rPr>
      <t xml:space="preserve">URL(</t>
    </r>
    <r>
      <rPr>
        <sz val="10"/>
        <rFont val="WenQuanYi Zen Hei"/>
        <family val="2"/>
      </rPr>
      <t xml:space="preserve">テスト環境から接続不可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は、実機または当該環境が必要なため未実施。手動での確認が必要</t>
    </r>
  </si>
  <si>
    <t xml:space="preserve">総項目数</t>
  </si>
  <si>
    <t xml:space="preserve">OK</t>
  </si>
  <si>
    <t xml:space="preserve">NG</t>
  </si>
  <si>
    <t xml:space="preserve">未実施</t>
  </si>
  <si>
    <t xml:space="preserve">実施率</t>
  </si>
  <si>
    <r>
      <rPr>
        <b val="true"/>
        <sz val="10"/>
        <rFont val="WenQuanYi Zen Hei"/>
        <family val="2"/>
      </rPr>
      <t xml:space="preserve">合格率</t>
    </r>
    <r>
      <rPr>
        <b val="true"/>
        <sz val="10"/>
        <rFont val="Meiryo"/>
        <family val="0"/>
        <charset val="1"/>
      </rPr>
      <t xml:space="preserve">(OK/</t>
    </r>
    <r>
      <rPr>
        <b val="true"/>
        <sz val="10"/>
        <rFont val="WenQuanYi Zen Hei"/>
        <family val="2"/>
      </rPr>
      <t xml:space="preserve">実施済</t>
    </r>
    <r>
      <rPr>
        <b val="true"/>
        <sz val="10"/>
        <rFont val="Meiryo"/>
        <family val="0"/>
        <charset val="1"/>
      </rPr>
      <t xml:space="preserve">)</t>
    </r>
  </si>
  <si>
    <t xml:space="preserve">No.</t>
  </si>
  <si>
    <t xml:space="preserve">分類</t>
  </si>
  <si>
    <t xml:space="preserve">テスト項目</t>
  </si>
  <si>
    <t xml:space="preserve">操作手順</t>
  </si>
  <si>
    <t xml:space="preserve">期待結果</t>
  </si>
  <si>
    <t xml:space="preserve">実際の結果</t>
  </si>
  <si>
    <t xml:space="preserve">結果</t>
  </si>
  <si>
    <t xml:space="preserve">実施者</t>
  </si>
  <si>
    <t xml:space="preserve">備考</t>
  </si>
  <si>
    <t xml:space="preserve">T001</t>
  </si>
  <si>
    <t xml:space="preserve">画面表示</t>
  </si>
  <si>
    <t xml:space="preserve">初期表示</t>
  </si>
  <si>
    <r>
      <rPr>
        <sz val="10"/>
        <rFont val="Meiryo"/>
        <family val="0"/>
        <charset val="1"/>
      </rPr>
      <t xml:space="preserve">index.html </t>
    </r>
    <r>
      <rPr>
        <sz val="10"/>
        <rFont val="WenQuanYi Zen Hei"/>
        <family val="2"/>
      </rPr>
      <t xml:space="preserve">をブラウザで開く</t>
    </r>
  </si>
  <si>
    <r>
      <rPr>
        <sz val="10"/>
        <rFont val="WenQuanYi Zen Hei"/>
        <family val="2"/>
      </rPr>
      <t xml:space="preserve">表示欄に「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」、式の欄は空。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、小数点、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、⌫、</t>
    </r>
    <r>
      <rPr>
        <sz val="10"/>
        <rFont val="Meiryo"/>
        <family val="0"/>
        <charset val="1"/>
      </rPr>
      <t xml:space="preserve">%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÷×−+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= </t>
    </r>
    <r>
      <rPr>
        <sz val="10"/>
        <rFont val="WenQuanYi Zen Hei"/>
        <family val="2"/>
      </rPr>
      <t xml:space="preserve">のボタンと、「⚙ 設定」「消費税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」のボタンが表示される。履歴欄に「履歴はありません」と表示される</t>
    </r>
  </si>
  <si>
    <r>
      <rPr>
        <sz val="10"/>
        <rFont val="WenQuanYi Zen Hei"/>
        <family val="2"/>
      </rPr>
      <t xml:space="preserve">表示欄「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」、式欄「」、ボタン</t>
    </r>
    <r>
      <rPr>
        <sz val="10"/>
        <rFont val="Meiryo"/>
        <family val="0"/>
        <charset val="1"/>
      </rPr>
      <t xml:space="preserve">19</t>
    </r>
    <r>
      <rPr>
        <sz val="10"/>
        <rFont val="WenQuanYi Zen Hei"/>
        <family val="2"/>
      </rPr>
      <t xml:space="preserve">個</t>
    </r>
    <r>
      <rPr>
        <sz val="10"/>
        <rFont val="Meiryo"/>
        <family val="0"/>
        <charset val="1"/>
      </rPr>
      <t xml:space="preserve">+⚙ </t>
    </r>
    <r>
      <rPr>
        <sz val="10"/>
        <rFont val="WenQuanYi Zen Hei"/>
        <family val="2"/>
      </rPr>
      <t xml:space="preserve">設定・消費税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、履歴欄「履歴はありません」</t>
    </r>
  </si>
  <si>
    <r>
      <rPr>
        <sz val="10"/>
        <rFont val="Meiryo"/>
        <family val="0"/>
        <charset val="1"/>
      </rPr>
      <t xml:space="preserve">Claude(</t>
    </r>
    <r>
      <rPr>
        <sz val="10"/>
        <rFont val="WenQuanYi Zen Hei"/>
        <family val="2"/>
      </rPr>
      <t xml:space="preserve">自動テスト</t>
    </r>
    <r>
      <rPr>
        <sz val="10"/>
        <rFont val="Meiryo"/>
        <family val="0"/>
        <charset val="1"/>
      </rPr>
      <t xml:space="preserve">)</t>
    </r>
  </si>
  <si>
    <t xml:space="preserve">T002</t>
  </si>
  <si>
    <t xml:space="preserve">数字入力の表示</t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</si>
  <si>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」を順に押す
</t>
    </r>
    <r>
      <rPr>
        <sz val="10"/>
        <rFont val="Meiryo"/>
        <family val="0"/>
        <charset val="1"/>
      </rPr>
      <t xml:space="preserve">(2) C </t>
    </r>
    <r>
      <rPr>
        <sz val="10"/>
        <rFont val="WenQuanYi Zen Hei"/>
        <family val="2"/>
      </rPr>
      <t xml:space="preserve">を押した後、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の各ボタンを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つずつ押す</t>
    </r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</si>
  <si>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表示欄が「</t>
    </r>
    <r>
      <rPr>
        <sz val="10"/>
        <rFont val="Meiryo"/>
        <family val="0"/>
        <charset val="1"/>
      </rPr>
      <t xml:space="preserve">1234567890</t>
    </r>
    <r>
      <rPr>
        <sz val="10"/>
        <rFont val="WenQuanYi Zen Hei"/>
        <family val="2"/>
      </rPr>
      <t xml:space="preserve">」になる
</t>
    </r>
    <r>
      <rPr>
        <sz val="10"/>
        <rFont val="Meiryo"/>
        <family val="0"/>
        <charset val="1"/>
      </rPr>
      <t xml:space="preserve">(2) </t>
    </r>
    <r>
      <rPr>
        <sz val="10"/>
        <rFont val="WenQuanYi Zen Hei"/>
        <family val="2"/>
      </rPr>
      <t xml:space="preserve">各ボタンを押したとき、押した数字が表示欄に表示される</t>
    </r>
    <r>
      <rPr>
        <sz val="10"/>
        <rFont val="Meiryo"/>
        <family val="0"/>
        <charset val="1"/>
      </rPr>
      <t xml:space="preserve">(0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の全てが正しい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</si>
  <si>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1234567890</t>
    </r>
    <r>
      <rPr>
        <sz val="10"/>
        <rFont val="WenQuanYi Zen Hei"/>
        <family val="2"/>
      </rPr>
      <t xml:space="preserve">」 </t>
    </r>
    <r>
      <rPr>
        <sz val="10"/>
        <rFont val="Meiryo"/>
        <family val="0"/>
        <charset val="1"/>
      </rPr>
      <t xml:space="preserve">(2) 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の個別入力で不一致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なし</t>
    </r>
  </si>
  <si>
    <t xml:space="preserve">T003</t>
  </si>
  <si>
    <t xml:space="preserve">ボタン押下の反応</t>
  </si>
  <si>
    <t xml:space="preserve">任意のボタンを押す</t>
  </si>
  <si>
    <t xml:space="preserve">押している間、ボタンの色が少し暗くなる</t>
  </si>
  <si>
    <r>
      <rPr>
        <sz val="10"/>
        <rFont val="WenQuanYi Zen Hei"/>
        <family val="2"/>
      </rPr>
      <t xml:space="preserve">通常時 </t>
    </r>
    <r>
      <rPr>
        <sz val="10"/>
        <rFont val="Meiryo"/>
        <family val="0"/>
        <charset val="1"/>
      </rPr>
      <t xml:space="preserve">filter=none</t>
    </r>
    <r>
      <rPr>
        <sz val="10"/>
        <rFont val="WenQuanYi Zen Hei"/>
        <family val="2"/>
      </rPr>
      <t xml:space="preserve">、押下中 </t>
    </r>
    <r>
      <rPr>
        <sz val="10"/>
        <rFont val="Meiryo"/>
        <family val="0"/>
        <charset val="1"/>
      </rPr>
      <t xml:space="preserve">filter=brightness(0.9)</t>
    </r>
  </si>
  <si>
    <t xml:space="preserve">T004</t>
  </si>
  <si>
    <t xml:space="preserve">スマートフォン幅での表示</t>
  </si>
  <si>
    <r>
      <rPr>
        <sz val="10"/>
        <rFont val="WenQuanYi Zen Hei"/>
        <family val="2"/>
      </rPr>
      <t xml:space="preserve">画面幅 </t>
    </r>
    <r>
      <rPr>
        <sz val="10"/>
        <rFont val="Meiryo"/>
        <family val="0"/>
        <charset val="1"/>
      </rPr>
      <t xml:space="preserve">360px </t>
    </r>
    <r>
      <rPr>
        <sz val="10"/>
        <rFont val="WenQuanYi Zen Hei"/>
        <family val="2"/>
      </rPr>
      <t xml:space="preserve">前後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スマホ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で開く</t>
    </r>
  </si>
  <si>
    <t xml:space="preserve">横スクロールが出ず、ボタンが押しやすい大きさで全て表示される</t>
  </si>
  <si>
    <r>
      <rPr>
        <sz val="10"/>
        <rFont val="WenQuanYi Zen Hei"/>
        <family val="2"/>
      </rPr>
      <t xml:space="preserve">ページ幅 </t>
    </r>
    <r>
      <rPr>
        <sz val="10"/>
        <rFont val="Meiryo"/>
        <family val="0"/>
        <charset val="1"/>
      </rPr>
      <t xml:space="preserve">360px / </t>
    </r>
    <r>
      <rPr>
        <sz val="10"/>
        <rFont val="WenQuanYi Zen Hei"/>
        <family val="2"/>
      </rPr>
      <t xml:space="preserve">画面幅 </t>
    </r>
    <r>
      <rPr>
        <sz val="10"/>
        <rFont val="Meiryo"/>
        <family val="0"/>
        <charset val="1"/>
      </rPr>
      <t xml:space="preserve">360px(</t>
    </r>
    <r>
      <rPr>
        <sz val="10"/>
        <rFont val="WenQuanYi Zen Hei"/>
        <family val="2"/>
      </rPr>
      <t xml:space="preserve">横スクロールなし</t>
    </r>
    <r>
      <rPr>
        <sz val="10"/>
        <rFont val="Meiryo"/>
        <family val="0"/>
        <charset val="1"/>
      </rPr>
      <t xml:space="preserve">=true)</t>
    </r>
    <r>
      <rPr>
        <sz val="10"/>
        <rFont val="WenQuanYi Zen Hei"/>
        <family val="2"/>
      </rPr>
      <t xml:space="preserve">、全</t>
    </r>
    <r>
      <rPr>
        <sz val="10"/>
        <rFont val="Meiryo"/>
        <family val="0"/>
        <charset val="1"/>
      </rPr>
      <t xml:space="preserve">21</t>
    </r>
    <r>
      <rPr>
        <sz val="10"/>
        <rFont val="WenQuanYi Zen Hei"/>
        <family val="2"/>
      </rPr>
      <t xml:space="preserve">ボタンが画面内、最小ボタンサイズ </t>
    </r>
    <r>
      <rPr>
        <sz val="10"/>
        <rFont val="Meiryo"/>
        <family val="0"/>
        <charset val="1"/>
      </rPr>
      <t xml:space="preserve">44px</t>
    </r>
  </si>
  <si>
    <t xml:space="preserve">T005</t>
  </si>
  <si>
    <t xml:space="preserve">四則演算</t>
  </si>
  <si>
    <t xml:space="preserve">足し算</t>
  </si>
  <si>
    <t xml:space="preserve">1 + 2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</si>
  <si>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</si>
  <si>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</si>
  <si>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T006</t>
  </si>
  <si>
    <t xml:space="preserve">引き算</t>
  </si>
  <si>
    <t xml:space="preserve">7 − 3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</si>
  <si>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</si>
  <si>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</si>
  <si>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T007</t>
  </si>
  <si>
    <t xml:space="preserve">掛け算</t>
  </si>
  <si>
    <t xml:space="preserve">6 × 7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</si>
  <si>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</si>
  <si>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</si>
  <si>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T008</t>
  </si>
  <si>
    <t xml:space="preserve">割り算</t>
  </si>
  <si>
    <t xml:space="preserve">8 ÷ 4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</si>
  <si>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</si>
  <si>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</si>
  <si>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T009</t>
  </si>
  <si>
    <t xml:space="preserve">割り切れない割り算</t>
  </si>
  <si>
    <t xml:space="preserve">1 ÷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</si>
  <si>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有効数字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桁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</si>
  <si>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</si>
  <si>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T010</t>
  </si>
  <si>
    <t xml:space="preserve">結果が負数になる引き算</t>
  </si>
  <si>
    <t xml:space="preserve">3 − 5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</si>
  <si>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</si>
  <si>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</si>
  <si>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T011</t>
  </si>
  <si>
    <r>
      <rPr>
        <sz val="10"/>
        <rFont val="WenQuanYi Zen Hei"/>
        <family val="2"/>
      </rPr>
      <t xml:space="preserve">小数同士の足し算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誤差の丸め</t>
    </r>
    <r>
      <rPr>
        <sz val="10"/>
        <rFont val="Meiryo"/>
        <family val="0"/>
        <charset val="1"/>
      </rPr>
      <t xml:space="preserve">)</t>
    </r>
  </si>
  <si>
    <t xml:space="preserve">0.1 + 0.2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</si>
  <si>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(0.30000000000000004 </t>
    </r>
    <r>
      <rPr>
        <sz val="10"/>
        <rFont val="WenQuanYi Zen Hei"/>
        <family val="2"/>
      </rPr>
      <t xml:space="preserve">と表示されない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</si>
  <si>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</si>
  <si>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T012</t>
  </si>
  <si>
    <t xml:space="preserve">小数の計算</t>
  </si>
  <si>
    <t xml:space="preserve">1.5 + 2.5 =</t>
  </si>
  <si>
    <t xml:space="preserve">T013</t>
  </si>
  <si>
    <t xml:space="preserve">複数桁の計算</t>
  </si>
  <si>
    <t xml:space="preserve">123 × 456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</si>
  <si>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</si>
  <si>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</si>
  <si>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T014</t>
  </si>
  <si>
    <t xml:space="preserve">桁数の多い計算</t>
  </si>
  <si>
    <t xml:space="preserve">123456789 × 987654321 =</t>
  </si>
  <si>
    <r>
      <rPr>
        <sz val="10"/>
        <rFont val="WenQuanYi Zen Hei"/>
        <family val="2"/>
      </rPr>
      <t xml:space="preserve">エラーにならず、有効数字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桁に丸められた値</t>
    </r>
    <r>
      <rPr>
        <sz val="10"/>
        <rFont val="Meiryo"/>
        <family val="0"/>
        <charset val="1"/>
      </rPr>
      <t xml:space="preserve">(121932631113000000)</t>
    </r>
    <r>
      <rPr>
        <sz val="10"/>
        <rFont val="WenQuanYi Zen Hei"/>
        <family val="2"/>
      </rPr>
      <t xml:space="preserve">が表示される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</si>
  <si>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121932631113000000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121932631113000000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</si>
  <si>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T015</t>
  </si>
  <si>
    <t xml:space="preserve">計算の優先順位</t>
  </si>
  <si>
    <t xml:space="preserve">足し算と掛け算</t>
  </si>
  <si>
    <t xml:space="preserve">1 + 2 ×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</si>
  <si>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掛け算が先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</si>
  <si>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</si>
  <si>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T016</t>
  </si>
  <si>
    <t xml:space="preserve">引き算と割り算</t>
  </si>
  <si>
    <t xml:space="preserve">10 − 6 ÷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</si>
  <si>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割り算が先</t>
    </r>
    <r>
      <rPr>
        <sz val="10"/>
        <rFont val="Meiryo"/>
        <family val="0"/>
        <charset val="1"/>
      </rPr>
      <t xml:space="preserve">)</t>
    </r>
  </si>
  <si>
    <t xml:space="preserve">T017</t>
  </si>
  <si>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種類の混在</t>
    </r>
  </si>
  <si>
    <t xml:space="preserve">2 + 3 × 4 − 5 ÷ 5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</si>
  <si>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</si>
  <si>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</si>
  <si>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T018</t>
  </si>
  <si>
    <t xml:space="preserve">連続した演算</t>
  </si>
  <si>
    <t xml:space="preserve">1 + 2 + 3 + 4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</si>
  <si>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</si>
  <si>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</si>
  <si>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T019</t>
  </si>
  <si>
    <t xml:space="preserve">小数点入力</t>
  </si>
  <si>
    <t xml:space="preserve">先頭での小数点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</si>
  <si>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</si>
  <si>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先頭に </t>
    </r>
    <r>
      <rPr>
        <sz val="10"/>
        <rFont val="Meiryo"/>
        <family val="0"/>
        <charset val="1"/>
      </rPr>
      <t xml:space="preserve">0 </t>
    </r>
    <r>
      <rPr>
        <sz val="10"/>
        <rFont val="WenQuanYi Zen Hei"/>
        <family val="2"/>
      </rPr>
      <t xml:space="preserve">が補われる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</si>
  <si>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</si>
  <si>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T020</t>
  </si>
  <si>
    <t xml:space="preserve">小数点の重複入力</t>
  </si>
  <si>
    <r>
      <rPr>
        <sz val="10"/>
        <rFont val="Meiryo"/>
        <family val="0"/>
        <charset val="1"/>
      </rPr>
      <t xml:space="preserve">1 . 2 . 3 </t>
    </r>
    <r>
      <rPr>
        <sz val="10"/>
        <rFont val="WenQuanYi Zen Hei"/>
        <family val="2"/>
      </rPr>
      <t xml:space="preserve">を押す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</si>
  <si>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回目の「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」は無視され、表示は「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</si>
  <si>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</si>
  <si>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T021</t>
  </si>
  <si>
    <t xml:space="preserve">演算子の後の小数点</t>
  </si>
  <si>
    <t xml:space="preserve">1.5 + .5 =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</si>
  <si>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」として入力され、結果が「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</si>
  <si>
    <t xml:space="preserve">T022</t>
  </si>
  <si>
    <t xml:space="preserve">別の数での小数点</t>
  </si>
  <si>
    <r>
      <rPr>
        <sz val="10"/>
        <rFont val="Meiryo"/>
        <family val="0"/>
        <charset val="1"/>
      </rPr>
      <t xml:space="preserve">1.5 + 2.5 </t>
    </r>
    <r>
      <rPr>
        <sz val="10"/>
        <rFont val="WenQuanYi Zen Hei"/>
        <family val="2"/>
      </rPr>
      <t xml:space="preserve">と入力する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</si>
  <si>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つ目の数にも小数点を入力できる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重複とみなされない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</si>
  <si>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入力「</t>
    </r>
    <r>
      <rPr>
        <sz val="10"/>
        <rFont val="Meiryo"/>
        <family val="0"/>
        <charset val="1"/>
      </rPr>
      <t xml:space="preserve">1.5+2.5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= </t>
    </r>
    <r>
      <rPr>
        <sz val="10"/>
        <rFont val="WenQuanYi Zen Hei"/>
        <family val="2"/>
      </rPr>
      <t xml:space="preserve">で「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</si>
  <si>
    <t xml:space="preserve">T023</t>
  </si>
  <si>
    <t xml:space="preserve">演算子入力</t>
  </si>
  <si>
    <r>
      <rPr>
        <sz val="10"/>
        <rFont val="WenQuanYi Zen Hei"/>
        <family val="2"/>
      </rPr>
      <t xml:space="preserve">式の先頭の「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</si>
  <si>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何も入力していない状態で「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</si>
  <si>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何も入力されず、表示は「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」のまま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</si>
  <si>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</si>
  <si>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T024</t>
  </si>
  <si>
    <r>
      <rPr>
        <sz val="10"/>
        <rFont val="WenQuanYi Zen Hei"/>
        <family val="2"/>
      </rPr>
      <t xml:space="preserve">式の先頭の「−」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負数</t>
    </r>
    <r>
      <rPr>
        <sz val="10"/>
        <rFont val="Meiryo"/>
        <family val="0"/>
        <charset val="1"/>
      </rPr>
      <t xml:space="preserve">)</t>
    </r>
  </si>
  <si>
    <t xml:space="preserve">− 5 + 2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</si>
  <si>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</si>
  <si>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</si>
  <si>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T025</t>
  </si>
  <si>
    <t xml:space="preserve">演算子の連続入力</t>
  </si>
  <si>
    <t xml:space="preserve">5 + × 3 =</t>
  </si>
  <si>
    <r>
      <rPr>
        <sz val="10"/>
        <rFont val="WenQuanYi Zen Hei"/>
        <family val="2"/>
      </rPr>
      <t xml:space="preserve">直前の演算子が置き換わり「</t>
    </r>
    <r>
      <rPr>
        <sz val="10"/>
        <rFont val="Meiryo"/>
        <family val="0"/>
        <charset val="1"/>
      </rPr>
      <t xml:space="preserve">5×3</t>
    </r>
    <r>
      <rPr>
        <sz val="10"/>
        <rFont val="WenQuanYi Zen Hei"/>
        <family val="2"/>
      </rPr>
      <t xml:space="preserve">」となり、結果が「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</si>
  <si>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</si>
  <si>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T026</t>
  </si>
  <si>
    <r>
      <rPr>
        <sz val="10"/>
        <rFont val="WenQuanYi Zen Hei"/>
        <family val="2"/>
      </rPr>
      <t xml:space="preserve">末尾が演算子のまま「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</t>
    </r>
  </si>
  <si>
    <t xml:space="preserve">5 + =</t>
  </si>
  <si>
    <r>
      <rPr>
        <sz val="10"/>
        <rFont val="WenQuanYi Zen Hei"/>
        <family val="2"/>
      </rPr>
      <t xml:space="preserve">末尾の演算子が無視され、結果が「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</si>
  <si>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</si>
  <si>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T027</t>
  </si>
  <si>
    <r>
      <rPr>
        <sz val="10"/>
        <rFont val="WenQuanYi Zen Hei"/>
        <family val="2"/>
      </rPr>
      <t xml:space="preserve">何も入力せず「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</si>
  <si>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何も入力していない状態で「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</si>
  <si>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何も起きない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」、履歴も増えない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</si>
  <si>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」、履歴「履歴はありません」</t>
    </r>
  </si>
  <si>
    <t xml:space="preserve">T028</t>
  </si>
  <si>
    <t xml:space="preserve">連続計算</t>
  </si>
  <si>
    <t xml:space="preserve">結果に続けて演算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</si>
  <si>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+ 2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</si>
  <si>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前の結果 </t>
    </r>
    <r>
      <rPr>
        <sz val="10"/>
        <rFont val="Meiryo"/>
        <family val="0"/>
        <charset val="1"/>
      </rPr>
      <t xml:space="preserve">7 </t>
    </r>
    <r>
      <rPr>
        <sz val="10"/>
        <rFont val="WenQuanYi Zen Hei"/>
        <family val="2"/>
      </rPr>
      <t xml:space="preserve">に続けて計算される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</si>
  <si>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</si>
  <si>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T029</t>
  </si>
  <si>
    <t xml:space="preserve">結果の後に数字を入力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</si>
  <si>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5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</si>
  <si>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前の結果は消え、表示が「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」から新規入力になる</t>
    </r>
  </si>
  <si>
    <t xml:space="preserve">T030</t>
  </si>
  <si>
    <t xml:space="preserve">結果の後に小数点を入力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</si>
  <si>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.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</si>
  <si>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前の結果は消え、新規入力</t>
    </r>
    <r>
      <rPr>
        <sz val="10"/>
        <rFont val="Meiryo"/>
        <family val="0"/>
        <charset val="1"/>
      </rPr>
      <t xml:space="preserve">(0.)</t>
    </r>
    <r>
      <rPr>
        <sz val="10"/>
        <rFont val="WenQuanYi Zen Hei"/>
        <family val="2"/>
      </rPr>
      <t xml:space="preserve">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</si>
  <si>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</si>
  <si>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T031</t>
  </si>
  <si>
    <t xml:space="preserve">クリア</t>
  </si>
  <si>
    <t xml:space="preserve">入力途中でクリア</t>
  </si>
  <si>
    <r>
      <rPr>
        <sz val="10"/>
        <rFont val="Meiryo"/>
        <family val="0"/>
        <charset val="1"/>
      </rPr>
      <t xml:space="preserve">1 2 + 3 </t>
    </r>
    <r>
      <rPr>
        <sz val="10"/>
        <rFont val="WenQuanYi Zen Hei"/>
        <family val="2"/>
      </rPr>
      <t xml:space="preserve">を押した後 </t>
    </r>
    <r>
      <rPr>
        <sz val="10"/>
        <rFont val="Meiryo"/>
        <family val="0"/>
        <charset val="1"/>
      </rPr>
      <t xml:space="preserve">C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</si>
  <si>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」に戻り、式も空になる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</si>
  <si>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」、式欄「」</t>
    </r>
  </si>
  <si>
    <t xml:space="preserve">T032</t>
  </si>
  <si>
    <t xml:space="preserve">結果表示後にクリア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</si>
  <si>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C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</si>
  <si>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」に戻る</t>
    </r>
  </si>
  <si>
    <t xml:space="preserve">T033</t>
  </si>
  <si>
    <t xml:space="preserve">クリア後の再計算</t>
  </si>
  <si>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の後に </t>
    </r>
    <r>
      <rPr>
        <sz val="10"/>
        <rFont val="Meiryo"/>
        <family val="0"/>
        <charset val="1"/>
      </rPr>
      <t xml:space="preserve">4 × 2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</si>
  <si>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前の入力が残っていない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</si>
  <si>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</si>
  <si>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T034</t>
  </si>
  <si>
    <t xml:space="preserve">クリアと履歴の関係</t>
  </si>
  <si>
    <r>
      <rPr>
        <sz val="10"/>
        <rFont val="WenQuanYi Zen Hei"/>
        <family val="2"/>
      </rPr>
      <t xml:space="preserve">履歴がある状態で 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</si>
  <si>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履歴は消えない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履歴の消去は専用ボタンで行う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</si>
  <si>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["1+2 =3"]</t>
    </r>
  </si>
  <si>
    <t xml:space="preserve">T035</t>
  </si>
  <si>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文字削除</t>
    </r>
  </si>
  <si>
    <t xml:space="preserve">数字の削除</t>
  </si>
  <si>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を押した後 ⌫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</si>
  <si>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</si>
  <si>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</si>
  <si>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T036</t>
  </si>
  <si>
    <t xml:space="preserve">演算子の削除</t>
  </si>
  <si>
    <r>
      <rPr>
        <sz val="10"/>
        <rFont val="Meiryo"/>
        <family val="0"/>
        <charset val="1"/>
      </rPr>
      <t xml:space="preserve">1 2 + </t>
    </r>
    <r>
      <rPr>
        <sz val="10"/>
        <rFont val="WenQuanYi Zen Hei"/>
        <family val="2"/>
      </rPr>
      <t xml:space="preserve">を押した後 ⌫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</si>
  <si>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演算子が消える</t>
    </r>
    <r>
      <rPr>
        <sz val="10"/>
        <rFont val="Meiryo"/>
        <family val="0"/>
        <charset val="1"/>
      </rPr>
      <t xml:space="preserve">)</t>
    </r>
  </si>
  <si>
    <t xml:space="preserve">T037</t>
  </si>
  <si>
    <t xml:space="preserve">小数点の削除</t>
  </si>
  <si>
    <r>
      <rPr>
        <sz val="10"/>
        <rFont val="Meiryo"/>
        <family val="0"/>
        <charset val="1"/>
      </rPr>
      <t xml:space="preserve">1 . </t>
    </r>
    <r>
      <rPr>
        <sz val="10"/>
        <rFont val="WenQuanYi Zen Hei"/>
        <family val="2"/>
      </rPr>
      <t xml:space="preserve">を押した後 ⌫、続けて </t>
    </r>
    <r>
      <rPr>
        <sz val="10"/>
        <rFont val="Meiryo"/>
        <family val="0"/>
        <charset val="1"/>
      </rPr>
      <t xml:space="preserve">. 5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</si>
  <si>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」→「</t>
    </r>
    <r>
      <rPr>
        <sz val="10"/>
        <rFont val="Meiryo"/>
        <family val="0"/>
        <charset val="1"/>
      </rPr>
      <t xml:space="preserve">1.5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小数点を再入力できる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</si>
  <si>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削除後「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」→ 再入力後「</t>
    </r>
    <r>
      <rPr>
        <sz val="10"/>
        <rFont val="Meiryo"/>
        <family val="0"/>
        <charset val="1"/>
      </rPr>
      <t xml:space="preserve">1.5</t>
    </r>
    <r>
      <rPr>
        <sz val="10"/>
        <rFont val="WenQuanYi Zen Hei"/>
        <family val="2"/>
      </rPr>
      <t xml:space="preserve">」</t>
    </r>
  </si>
  <si>
    <t xml:space="preserve">T038</t>
  </si>
  <si>
    <t xml:space="preserve">連続削除</t>
  </si>
  <si>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を押した後 ⌫ を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回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</si>
  <si>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」になる</t>
    </r>
  </si>
  <si>
    <t xml:space="preserve">T039</t>
  </si>
  <si>
    <t xml:space="preserve">空の状態で削除</t>
  </si>
  <si>
    <t xml:space="preserve">何も入力していない状態で ⌫</t>
  </si>
  <si>
    <r>
      <rPr>
        <sz val="10"/>
        <rFont val="WenQuanYi Zen Hei"/>
        <family val="2"/>
      </rPr>
      <t xml:space="preserve">何も起きない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</si>
  <si>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T040</t>
  </si>
  <si>
    <t xml:space="preserve">削除後の計算</t>
  </si>
  <si>
    <r>
      <rPr>
        <sz val="10"/>
        <rFont val="Meiryo"/>
        <family val="0"/>
        <charset val="1"/>
      </rPr>
      <t xml:space="preserve">1 2 + 3 4 </t>
    </r>
    <r>
      <rPr>
        <sz val="10"/>
        <rFont val="WenQuanYi Zen Hei"/>
        <family val="2"/>
      </rPr>
      <t xml:space="preserve">を押し ⌫ を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回、その後 </t>
    </r>
    <r>
      <rPr>
        <sz val="10"/>
        <rFont val="Meiryo"/>
        <family val="0"/>
        <charset val="1"/>
      </rPr>
      <t xml:space="preserve">=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</si>
  <si>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」として計算され、結果が「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</si>
  <si>
    <t xml:space="preserve">T041</t>
  </si>
  <si>
    <t xml:space="preserve">結果表示後の削除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</si>
  <si>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の後 ⌫</t>
    </r>
  </si>
  <si>
    <r>
      <rPr>
        <sz val="10"/>
        <rFont val="WenQuanYi Zen Hei"/>
        <family val="2"/>
      </rPr>
      <t xml:space="preserve">結果が全て消え、表示が「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」になる</t>
    </r>
  </si>
  <si>
    <t xml:space="preserve">T042</t>
  </si>
  <si>
    <t xml:space="preserve">パーセント</t>
  </si>
  <si>
    <t xml:space="preserve">数値のパーセント</t>
  </si>
  <si>
    <r>
      <rPr>
        <sz val="10"/>
        <rFont val="Meiryo"/>
        <family val="0"/>
        <charset val="1"/>
      </rPr>
      <t xml:space="preserve">5 0 %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</si>
  <si>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」になる</t>
    </r>
  </si>
  <si>
    <t xml:space="preserve">T043</t>
  </si>
  <si>
    <t xml:space="preserve">式の途中でのパーセント</t>
  </si>
  <si>
    <t xml:space="preserve">2 0 0 + 5 0 % =</t>
  </si>
  <si>
    <r>
      <rPr>
        <sz val="10"/>
        <rFont val="Meiryo"/>
        <family val="0"/>
        <charset val="1"/>
      </rPr>
      <t xml:space="preserve">50 </t>
    </r>
    <r>
      <rPr>
        <sz val="10"/>
        <rFont val="WenQuanYi Zen Hei"/>
        <family val="2"/>
      </rPr>
      <t xml:space="preserve">が </t>
    </r>
    <r>
      <rPr>
        <sz val="10"/>
        <rFont val="Meiryo"/>
        <family val="0"/>
        <charset val="1"/>
      </rPr>
      <t xml:space="preserve">0.5 </t>
    </r>
    <r>
      <rPr>
        <sz val="10"/>
        <rFont val="WenQuanYi Zen Hei"/>
        <family val="2"/>
      </rPr>
      <t xml:space="preserve">になり、結果が「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</si>
  <si>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</si>
  <si>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T044</t>
  </si>
  <si>
    <t xml:space="preserve">数値がない状態</t>
  </si>
  <si>
    <r>
      <rPr>
        <sz val="10"/>
        <rFont val="WenQuanYi Zen Hei"/>
        <family val="2"/>
      </rPr>
      <t xml:space="preserve">何も入力していない状態で </t>
    </r>
    <r>
      <rPr>
        <sz val="10"/>
        <rFont val="Meiryo"/>
        <family val="0"/>
        <charset val="1"/>
      </rPr>
      <t xml:space="preserve">%</t>
    </r>
  </si>
  <si>
    <t xml:space="preserve">何も起きない</t>
  </si>
  <si>
    <t xml:space="preserve">T045</t>
  </si>
  <si>
    <t xml:space="preserve">消費税・設定</t>
  </si>
  <si>
    <t xml:space="preserve">消費税率の初期値</t>
  </si>
  <si>
    <r>
      <rPr>
        <sz val="10"/>
        <rFont val="WenQuanYi Zen Hei"/>
        <family val="2"/>
      </rPr>
      <t xml:space="preserve">初めて開いた状態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設定を変更していない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で消費税ボタンを確認する</t>
    </r>
  </si>
  <si>
    <r>
      <rPr>
        <sz val="10"/>
        <rFont val="WenQuanYi Zen Hei"/>
        <family val="2"/>
      </rPr>
      <t xml:space="preserve">ボタンに「消費税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」と表示される</t>
    </r>
  </si>
  <si>
    <r>
      <rPr>
        <sz val="10"/>
        <rFont val="WenQuanYi Zen Hei"/>
        <family val="2"/>
      </rPr>
      <t xml:space="preserve">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</si>
  <si>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T046</t>
  </si>
  <si>
    <r>
      <rPr>
        <sz val="10"/>
        <rFont val="WenQuanYi Zen Hei"/>
        <family val="2"/>
      </rPr>
      <t xml:space="preserve">消費税の計算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</si>
  <si>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を押した後、「消費税」ボタンを押す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</si>
  <si>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110</t>
    </r>
    <r>
      <rPr>
        <sz val="10"/>
        <rFont val="WenQuanYi Zen Hei"/>
        <family val="2"/>
      </rPr>
      <t xml:space="preserve">」。式の欄に「</t>
    </r>
    <r>
      <rPr>
        <sz val="10"/>
        <rFont val="Meiryo"/>
        <family val="0"/>
        <charset val="1"/>
      </rPr>
      <t xml:space="preserve">100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」と表示される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</si>
  <si>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110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110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</t>
    </r>
    <r>
      <rPr>
        <sz val="10"/>
        <rFont val="Meiryo"/>
        <family val="0"/>
        <charset val="1"/>
      </rPr>
      <t xml:space="preserve">100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</si>
  <si>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T047</t>
  </si>
  <si>
    <t xml:space="preserve">式に対する消費税</t>
  </si>
  <si>
    <r>
      <rPr>
        <sz val="10"/>
        <rFont val="Meiryo"/>
        <family val="0"/>
        <charset val="1"/>
      </rPr>
      <t xml:space="preserve">1 0 0 + 2 0 0 </t>
    </r>
    <r>
      <rPr>
        <sz val="10"/>
        <rFont val="WenQuanYi Zen Hei"/>
        <family val="2"/>
      </rPr>
      <t xml:space="preserve">を押した後、「消費税」ボタンを押す</t>
    </r>
  </si>
  <si>
    <r>
      <rPr>
        <sz val="10"/>
        <rFont val="WenQuanYi Zen Hei"/>
        <family val="2"/>
      </rPr>
      <t xml:space="preserve">式が先に計算され、結果が「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((100+200)×1.1)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</si>
  <si>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</t>
    </r>
    <r>
      <rPr>
        <sz val="10"/>
        <rFont val="Meiryo"/>
        <family val="0"/>
        <charset val="1"/>
      </rPr>
      <t xml:space="preserve">100+200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</si>
  <si>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T048</t>
  </si>
  <si>
    <t xml:space="preserve">計算結果に対する消費税</t>
  </si>
  <si>
    <r>
      <rPr>
        <sz val="10"/>
        <rFont val="Meiryo"/>
        <family val="0"/>
        <charset val="1"/>
      </rPr>
      <t xml:space="preserve">1 0 0 + 2 0 0 = </t>
    </r>
    <r>
      <rPr>
        <sz val="10"/>
        <rFont val="WenQuanYi Zen Hei"/>
        <family val="2"/>
      </rPr>
      <t xml:space="preserve">の後、「消費税」ボタンを押す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</si>
  <si>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</si>
  <si>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330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</t>
    </r>
    <r>
      <rPr>
        <sz val="10"/>
        <rFont val="Meiryo"/>
        <family val="0"/>
        <charset val="1"/>
      </rPr>
      <t xml:space="preserve">300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</si>
  <si>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T049</t>
  </si>
  <si>
    <t xml:space="preserve">端数が出る消費税</t>
  </si>
  <si>
    <r>
      <rPr>
        <sz val="10"/>
        <rFont val="Meiryo"/>
        <family val="0"/>
        <charset val="1"/>
      </rPr>
      <t xml:space="preserve">1 0 5 </t>
    </r>
    <r>
      <rPr>
        <sz val="10"/>
        <rFont val="WenQuanYi Zen Hei"/>
        <family val="2"/>
      </rPr>
      <t xml:space="preserve">を押した後、「消費税」ボタンを押す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</si>
  <si>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115.5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誤差が出ず、丸められない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</si>
  <si>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115.5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期待「</t>
    </r>
    <r>
      <rPr>
        <sz val="10"/>
        <rFont val="Meiryo"/>
        <family val="0"/>
        <charset val="1"/>
      </rPr>
      <t xml:space="preserve">115.5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、式欄「</t>
    </r>
    <r>
      <rPr>
        <sz val="10"/>
        <rFont val="Meiryo"/>
        <family val="0"/>
        <charset val="1"/>
      </rPr>
      <t xml:space="preserve">105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</si>
  <si>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T050</t>
  </si>
  <si>
    <t xml:space="preserve">数値がない状態での消費税</t>
  </si>
  <si>
    <t xml:space="preserve">何も入力していない状態で「消費税」ボタンを押す</t>
  </si>
  <si>
    <t xml:space="preserve">T051</t>
  </si>
  <si>
    <t xml:space="preserve">税込金額に続けて計算</t>
  </si>
  <si>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を押して「消費税」、続けて </t>
    </r>
    <r>
      <rPr>
        <sz val="10"/>
        <rFont val="Meiryo"/>
        <family val="0"/>
        <charset val="1"/>
      </rPr>
      <t xml:space="preserve">+ 1 0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</si>
  <si>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120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(110 + 10)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</si>
  <si>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</si>
  <si>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T052</t>
  </si>
  <si>
    <t xml:space="preserve">消費税の履歴</t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</si>
  <si>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100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 =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110</t>
    </r>
    <r>
      <rPr>
        <sz val="10"/>
        <rFont val="WenQuanYi Zen Hei"/>
        <family val="2"/>
      </rPr>
      <t xml:space="preserve">」が追加される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</si>
  <si>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["100 </t>
    </r>
    <r>
      <rPr>
        <sz val="10"/>
        <rFont val="WenQuanYi Zen Hei"/>
        <family val="2"/>
      </rPr>
      <t xml:space="preserve">税込</t>
    </r>
    <r>
      <rPr>
        <sz val="10"/>
        <rFont val="Meiryo"/>
        <family val="0"/>
        <charset val="1"/>
      </rPr>
      <t xml:space="preserve">(10%) =110"]</t>
    </r>
  </si>
  <si>
    <t xml:space="preserve">T053</t>
  </si>
  <si>
    <t xml:space="preserve">設定画面を開く</t>
  </si>
  <si>
    <t xml:space="preserve">「⚙ 設定」ボタンを押す</t>
  </si>
  <si>
    <r>
      <rPr>
        <sz val="10"/>
        <rFont val="WenQuanYi Zen Hei"/>
        <family val="2"/>
      </rPr>
      <t xml:space="preserve">設定画面が表示され、消費税率の入力欄に現在の値「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」が入っている</t>
    </r>
  </si>
  <si>
    <r>
      <rPr>
        <sz val="10"/>
        <rFont val="WenQuanYi Zen Hei"/>
        <family val="2"/>
      </rPr>
      <t xml:space="preserve">設定画面の表示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、税率欄「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</si>
  <si>
    <t xml:space="preserve">T054</t>
  </si>
  <si>
    <t xml:space="preserve">消費税率の変更</t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</si>
  <si>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」にして「保存」を押す。その後 </t>
    </r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を押して「消費税」ボタンを押す</t>
    </r>
  </si>
  <si>
    <r>
      <rPr>
        <sz val="10"/>
        <rFont val="WenQuanYi Zen Hei"/>
        <family val="2"/>
      </rPr>
      <t xml:space="preserve">設定画面が閉じ、ボタンが「消費税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」になる。結果が「</t>
    </r>
    <r>
      <rPr>
        <sz val="10"/>
        <rFont val="Meiryo"/>
        <family val="0"/>
        <charset val="1"/>
      </rPr>
      <t xml:space="preserve">108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</si>
  <si>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設定画面を閉じた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100→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108</t>
    </r>
    <r>
      <rPr>
        <sz val="10"/>
        <rFont val="WenQuanYi Zen Hei"/>
        <family val="2"/>
      </rPr>
      <t xml:space="preserve">」</t>
    </r>
  </si>
  <si>
    <t xml:space="preserve">T055</t>
  </si>
  <si>
    <t xml:space="preserve">小数の消費税率</t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</si>
  <si>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8.5</t>
    </r>
    <r>
      <rPr>
        <sz val="10"/>
        <rFont val="WenQuanYi Zen Hei"/>
        <family val="2"/>
      </rPr>
      <t xml:space="preserve">」にして保存し、</t>
    </r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に「消費税」ボタン</t>
    </r>
  </si>
  <si>
    <r>
      <rPr>
        <sz val="10"/>
        <rFont val="WenQuanYi Zen Hei"/>
        <family val="2"/>
      </rPr>
      <t xml:space="preserve">ボタンが「消費税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」になり、結果が「</t>
    </r>
    <r>
      <rPr>
        <sz val="10"/>
        <rFont val="Meiryo"/>
        <family val="0"/>
        <charset val="1"/>
      </rPr>
      <t xml:space="preserve">108.5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</si>
  <si>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ボタン「消費税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100→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108.5</t>
    </r>
    <r>
      <rPr>
        <sz val="10"/>
        <rFont val="WenQuanYi Zen Hei"/>
        <family val="2"/>
      </rPr>
      <t xml:space="preserve">」</t>
    </r>
  </si>
  <si>
    <t xml:space="preserve">T056</t>
  </si>
  <si>
    <r>
      <rPr>
        <sz val="10"/>
        <rFont val="WenQuanYi Zen Hei"/>
        <family val="2"/>
      </rPr>
      <t xml:space="preserve">消費税率 </t>
    </r>
    <r>
      <rPr>
        <sz val="10"/>
        <rFont val="Meiryo"/>
        <family val="0"/>
        <charset val="1"/>
      </rPr>
      <t xml:space="preserve">0%</t>
    </r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</si>
  <si>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」にして保存し、</t>
    </r>
    <r>
      <rPr>
        <sz val="10"/>
        <rFont val="Meiryo"/>
        <family val="0"/>
        <charset val="1"/>
      </rPr>
      <t xml:space="preserve">1 0 0 </t>
    </r>
    <r>
      <rPr>
        <sz val="10"/>
        <rFont val="WenQuanYi Zen Hei"/>
        <family val="2"/>
      </rPr>
      <t xml:space="preserve">に「消費税」ボタン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</si>
  <si>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</si>
  <si>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</si>
  <si>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T057</t>
  </si>
  <si>
    <t xml:space="preserve">全角数字での入力</t>
  </si>
  <si>
    <r>
      <rPr>
        <sz val="10"/>
        <rFont val="WenQuanYi Zen Hei"/>
        <family val="2"/>
      </rPr>
      <t xml:space="preserve">設定画面で税率を全角「８」「．」「５」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８．５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と入力して保存</t>
    </r>
  </si>
  <si>
    <r>
      <rPr>
        <sz val="10"/>
        <rFont val="WenQuanYi Zen Hei"/>
        <family val="2"/>
      </rPr>
      <t xml:space="preserve">半角と同様に扱われ、ボタンが「消費税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</si>
  <si>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「消費税</t>
    </r>
    <r>
      <rPr>
        <sz val="10"/>
        <rFont val="Meiryo"/>
        <family val="0"/>
        <charset val="1"/>
      </rPr>
      <t xml:space="preserve">(8.5%)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</si>
  <si>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T058</t>
  </si>
  <si>
    <t xml:space="preserve">設定のキャンセル</t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</si>
  <si>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」に書き換えて「キャンセル」を押す</t>
    </r>
  </si>
  <si>
    <r>
      <rPr>
        <sz val="10"/>
        <rFont val="WenQuanYi Zen Hei"/>
        <family val="2"/>
      </rPr>
      <t xml:space="preserve">設定画面が閉じ、税率は変更されない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ボタンは「消費税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」のまま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</si>
  <si>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設定画面を閉じた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、ボタン「消費税</t>
    </r>
    <r>
      <rPr>
        <sz val="10"/>
        <rFont val="Meiryo"/>
        <family val="0"/>
        <charset val="1"/>
      </rPr>
      <t xml:space="preserve">(10%)</t>
    </r>
    <r>
      <rPr>
        <sz val="10"/>
        <rFont val="WenQuanYi Zen Hei"/>
        <family val="2"/>
      </rPr>
      <t xml:space="preserve">」</t>
    </r>
  </si>
  <si>
    <t xml:space="preserve">T059</t>
  </si>
  <si>
    <r>
      <rPr>
        <sz val="10"/>
        <rFont val="WenQuanYi Zen Hei"/>
        <family val="2"/>
      </rPr>
      <t xml:space="preserve">設定の保持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再読み込み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</si>
  <si>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税率を「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」に変更して保存し、ページを再読み込みする</t>
    </r>
  </si>
  <si>
    <r>
      <rPr>
        <sz val="10"/>
        <rFont val="WenQuanYi Zen Hei"/>
        <family val="2"/>
      </rPr>
      <t xml:space="preserve">ボタンが「消費税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」のまま。設定画面にも「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」が表示される</t>
    </r>
  </si>
  <si>
    <r>
      <rPr>
        <sz val="10"/>
        <rFont val="WenQuanYi Zen Hei"/>
        <family val="2"/>
      </rPr>
      <t xml:space="preserve">再読み込み後 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」、設定画面の税率「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</si>
  <si>
    <t xml:space="preserve">T060</t>
  </si>
  <si>
    <t xml:space="preserve">税率の入力チェック</t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</si>
  <si>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空欄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abc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-1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101</t>
    </r>
    <r>
      <rPr>
        <sz val="10"/>
        <rFont val="WenQuanYi Zen Hei"/>
        <family val="2"/>
      </rPr>
      <t xml:space="preserve">」にして、それぞれ「保存」を押す</t>
    </r>
  </si>
  <si>
    <r>
      <rPr>
        <sz val="10"/>
        <rFont val="WenQuanYi Zen Hei"/>
        <family val="2"/>
      </rPr>
      <t xml:space="preserve">いずれも「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100 </t>
    </r>
    <r>
      <rPr>
        <sz val="10"/>
        <rFont val="WenQuanYi Zen Hei"/>
        <family val="2"/>
      </rPr>
      <t xml:space="preserve">の数値を入力してください」と表示され、保存されず、設定画面は開いたまま</t>
    </r>
  </si>
  <si>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パターン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空欄・</t>
    </r>
    <r>
      <rPr>
        <sz val="10"/>
        <rFont val="Meiryo"/>
        <family val="0"/>
        <charset val="1"/>
      </rPr>
      <t xml:space="preserve">abc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-1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101)</t>
    </r>
    <r>
      <rPr>
        <sz val="10"/>
        <rFont val="WenQuanYi Zen Hei"/>
        <family val="2"/>
      </rPr>
      <t xml:space="preserve">で、エラー表示・設定画面が開いたまま・税率不変とならなかったもの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なし</t>
    </r>
  </si>
  <si>
    <t xml:space="preserve">T061</t>
  </si>
  <si>
    <r>
      <rPr>
        <sz val="10"/>
        <rFont val="Meiryo"/>
        <family val="0"/>
        <charset val="1"/>
      </rPr>
      <t xml:space="preserve">Enter / Esc </t>
    </r>
    <r>
      <rPr>
        <sz val="10"/>
        <rFont val="WenQuanYi Zen Hei"/>
        <family val="2"/>
      </rPr>
      <t xml:space="preserve">での操作</t>
    </r>
  </si>
  <si>
    <r>
      <rPr>
        <sz val="10"/>
        <rFont val="WenQuanYi Zen Hei"/>
        <family val="2"/>
      </rPr>
      <t xml:space="preserve">設定画面で税率を「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」にして </t>
    </r>
    <r>
      <rPr>
        <sz val="10"/>
        <rFont val="Meiryo"/>
        <family val="0"/>
        <charset val="1"/>
      </rPr>
      <t xml:space="preserve">Enter </t>
    </r>
    <r>
      <rPr>
        <sz val="10"/>
        <rFont val="WenQuanYi Zen Hei"/>
        <family val="2"/>
      </rPr>
      <t xml:space="preserve">キー。再度設定画面を開き、</t>
    </r>
    <r>
      <rPr>
        <sz val="10"/>
        <rFont val="Meiryo"/>
        <family val="0"/>
        <charset val="1"/>
      </rPr>
      <t xml:space="preserve">Esc </t>
    </r>
    <r>
      <rPr>
        <sz val="10"/>
        <rFont val="WenQuanYi Zen Hei"/>
        <family val="2"/>
      </rPr>
      <t xml:space="preserve">キーを押す</t>
    </r>
  </si>
  <si>
    <r>
      <rPr>
        <sz val="10"/>
        <rFont val="Meiryo"/>
        <family val="0"/>
        <charset val="1"/>
      </rPr>
      <t xml:space="preserve">Enter </t>
    </r>
    <r>
      <rPr>
        <sz val="10"/>
        <rFont val="WenQuanYi Zen Hei"/>
        <family val="2"/>
      </rPr>
      <t xml:space="preserve">で保存されて閉じる。</t>
    </r>
    <r>
      <rPr>
        <sz val="10"/>
        <rFont val="Meiryo"/>
        <family val="0"/>
        <charset val="1"/>
      </rPr>
      <t xml:space="preserve">Esc </t>
    </r>
    <r>
      <rPr>
        <sz val="10"/>
        <rFont val="WenQuanYi Zen Hei"/>
        <family val="2"/>
      </rPr>
      <t xml:space="preserve">で保存せずに閉じる。どちらも電卓の計算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履歴の追加など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は行われない</t>
    </r>
  </si>
  <si>
    <r>
      <rPr>
        <sz val="10"/>
        <rFont val="Meiryo"/>
        <family val="0"/>
        <charset val="1"/>
      </rPr>
      <t xml:space="preserve">Enter</t>
    </r>
    <r>
      <rPr>
        <sz val="10"/>
        <rFont val="WenQuanYi Zen Hei"/>
        <family val="2"/>
      </rPr>
      <t xml:space="preserve">後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画面</t>
    </r>
    <r>
      <rPr>
        <sz val="10"/>
        <rFont val="Meiryo"/>
        <family val="0"/>
        <charset val="1"/>
      </rPr>
      <t xml:space="preserve">closed</t>
    </r>
    <r>
      <rPr>
        <sz val="10"/>
        <rFont val="WenQuanYi Zen Hei"/>
        <family val="2"/>
      </rPr>
      <t xml:space="preserve">・ボタン「消費税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Esc</t>
    </r>
    <r>
      <rPr>
        <sz val="10"/>
        <rFont val="WenQuanYi Zen Hei"/>
        <family val="2"/>
      </rPr>
      <t xml:space="preserve">後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画面</t>
    </r>
    <r>
      <rPr>
        <sz val="10"/>
        <rFont val="Meiryo"/>
        <family val="0"/>
        <charset val="1"/>
      </rPr>
      <t xml:space="preserve">closed</t>
    </r>
    <r>
      <rPr>
        <sz val="10"/>
        <rFont val="WenQuanYi Zen Hei"/>
        <family val="2"/>
      </rPr>
      <t xml:space="preserve">・ボタン「消費税</t>
    </r>
    <r>
      <rPr>
        <sz val="10"/>
        <rFont val="Meiryo"/>
        <family val="0"/>
        <charset val="1"/>
      </rPr>
      <t xml:space="preserve">(8%)</t>
    </r>
    <r>
      <rPr>
        <sz val="10"/>
        <rFont val="WenQuanYi Zen Hei"/>
        <family val="2"/>
      </rPr>
      <t xml:space="preserve">」、履歴件数 </t>
    </r>
    <r>
      <rPr>
        <sz val="10"/>
        <rFont val="Meiryo"/>
        <family val="0"/>
        <charset val="1"/>
      </rPr>
      <t xml:space="preserve">1→1</t>
    </r>
    <r>
      <rPr>
        <sz val="10"/>
        <rFont val="WenQuanYi Zen Hei"/>
        <family val="2"/>
      </rPr>
      <t xml:space="preserve">、表示「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</si>
  <si>
    <t xml:space="preserve">T062</t>
  </si>
  <si>
    <t xml:space="preserve">設定画面中のキー入力</t>
  </si>
  <si>
    <t xml:space="preserve">設定画面を開いた状態で、キーボードの数字キーを押す</t>
  </si>
  <si>
    <t xml:space="preserve">数字は税率の入力欄だけに入り、電卓の表示欄は変わらない</t>
  </si>
  <si>
    <r>
      <rPr>
        <sz val="10"/>
        <rFont val="WenQuanYi Zen Hei"/>
        <family val="2"/>
      </rPr>
      <t xml:space="preserve">税率欄「</t>
    </r>
    <r>
      <rPr>
        <sz val="10"/>
        <rFont val="Meiryo"/>
        <family val="0"/>
        <charset val="1"/>
      </rPr>
      <t xml:space="preserve">55+</t>
    </r>
    <r>
      <rPr>
        <sz val="10"/>
        <rFont val="WenQuanYi Zen Hei"/>
        <family val="2"/>
      </rPr>
      <t xml:space="preserve">」、電卓の表示「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変わらない</t>
    </r>
    <r>
      <rPr>
        <sz val="10"/>
        <rFont val="Meiryo"/>
        <family val="0"/>
        <charset val="1"/>
      </rPr>
      <t xml:space="preserve">)</t>
    </r>
  </si>
  <si>
    <t xml:space="preserve">T063</t>
  </si>
  <si>
    <t xml:space="preserve">エラー処理</t>
  </si>
  <si>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で割る</t>
    </r>
  </si>
  <si>
    <t xml:space="preserve">8 ÷ 0 =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</si>
  <si>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で割れません」と表示される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</si>
  <si>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</t>
    </r>
    <r>
      <rPr>
        <sz val="10"/>
        <rFont val="Meiryo"/>
        <family val="0"/>
        <charset val="1"/>
      </rPr>
      <t xml:space="preserve">)</t>
    </r>
  </si>
  <si>
    <t xml:space="preserve">T064</t>
  </si>
  <si>
    <t xml:space="preserve">エラー後の復帰</t>
  </si>
  <si>
    <r>
      <rPr>
        <sz val="10"/>
        <rFont val="Meiryo"/>
        <family val="0"/>
        <charset val="1"/>
      </rPr>
      <t xml:space="preserve">8 ÷ 0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5 + 1 =</t>
    </r>
  </si>
  <si>
    <r>
      <rPr>
        <sz val="10"/>
        <rFont val="WenQuanYi Zen Hei"/>
        <family val="2"/>
      </rPr>
      <t xml:space="preserve">エラー表示が消え、結果が「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</si>
  <si>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</si>
  <si>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T065</t>
  </si>
  <si>
    <t xml:space="preserve">エラーの履歴</t>
  </si>
  <si>
    <r>
      <rPr>
        <sz val="10"/>
        <rFont val="Meiryo"/>
        <family val="0"/>
        <charset val="1"/>
      </rPr>
      <t xml:space="preserve">8 ÷ 0 = </t>
    </r>
    <r>
      <rPr>
        <sz val="10"/>
        <rFont val="WenQuanYi Zen Hei"/>
        <family val="2"/>
      </rPr>
      <t xml:space="preserve">を実行する</t>
    </r>
  </si>
  <si>
    <t xml:space="preserve">履歴にエラーは記録されない</t>
  </si>
  <si>
    <t xml:space="preserve">履歴「履歴はありません」</t>
  </si>
  <si>
    <t xml:space="preserve">T066</t>
  </si>
  <si>
    <t xml:space="preserve">履歴</t>
  </si>
  <si>
    <t xml:space="preserve">履歴の追加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</si>
  <si>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</si>
  <si>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1+2 =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」が追加される</t>
    </r>
  </si>
  <si>
    <t xml:space="preserve">T067</t>
  </si>
  <si>
    <t xml:space="preserve">履歴の並び順</t>
  </si>
  <si>
    <r>
      <rPr>
        <sz val="10"/>
        <rFont val="Meiryo"/>
        <family val="0"/>
        <charset val="1"/>
      </rPr>
      <t xml:space="preserve">1 + 2 =</t>
    </r>
    <r>
      <rPr>
        <sz val="10"/>
        <rFont val="WenQuanYi Zen Hei"/>
        <family val="2"/>
      </rPr>
      <t xml:space="preserve">、続けて 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のあと </t>
    </r>
    <r>
      <rPr>
        <sz val="10"/>
        <rFont val="Meiryo"/>
        <family val="0"/>
        <charset val="1"/>
      </rPr>
      <t xml:space="preserve">8 ÷ 4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</si>
  <si>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新しい計算</t>
    </r>
    <r>
      <rPr>
        <sz val="10"/>
        <rFont val="Meiryo"/>
        <family val="0"/>
        <charset val="1"/>
      </rPr>
      <t xml:space="preserve">(8÷4)</t>
    </r>
    <r>
      <rPr>
        <sz val="10"/>
        <rFont val="WenQuanYi Zen Hei"/>
        <family val="2"/>
      </rPr>
      <t xml:space="preserve">が上、古い計算</t>
    </r>
    <r>
      <rPr>
        <sz val="10"/>
        <rFont val="Meiryo"/>
        <family val="0"/>
        <charset val="1"/>
      </rPr>
      <t xml:space="preserve">(1+2)</t>
    </r>
    <r>
      <rPr>
        <sz val="10"/>
        <rFont val="WenQuanYi Zen Hei"/>
        <family val="2"/>
      </rPr>
      <t xml:space="preserve">が下に並ぶ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</si>
  <si>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["8÷4 =2","1+2 =3"]</t>
    </r>
  </si>
  <si>
    <t xml:space="preserve">T068</t>
  </si>
  <si>
    <t xml:space="preserve">履歴からの再利用</t>
  </si>
  <si>
    <t xml:space="preserve">履歴の行をクリックする</t>
  </si>
  <si>
    <t xml:space="preserve">その結果が表示欄に入り、続けて演算子を押して計算を続けられる</t>
  </si>
  <si>
    <r>
      <rPr>
        <sz val="10"/>
        <rFont val="WenQuanYi Zen Hei"/>
        <family val="2"/>
      </rPr>
      <t xml:space="preserve">クリック後「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」、続けて </t>
    </r>
    <r>
      <rPr>
        <sz val="10"/>
        <rFont val="Meiryo"/>
        <family val="0"/>
        <charset val="1"/>
      </rPr>
      <t xml:space="preserve">+4= </t>
    </r>
    <r>
      <rPr>
        <sz val="10"/>
        <rFont val="WenQuanYi Zen Hei"/>
        <family val="2"/>
      </rPr>
      <t xml:space="preserve">で「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</si>
  <si>
    <t xml:space="preserve">T069</t>
  </si>
  <si>
    <r>
      <rPr>
        <sz val="10"/>
        <rFont val="WenQuanYi Zen Hei"/>
        <family val="2"/>
      </rPr>
      <t xml:space="preserve">履歴の保持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再読み込み</t>
    </r>
    <r>
      <rPr>
        <sz val="10"/>
        <rFont val="Meiryo"/>
        <family val="0"/>
        <charset val="1"/>
      </rPr>
      <t xml:space="preserve">)</t>
    </r>
  </si>
  <si>
    <t xml:space="preserve">履歴が残っている状態でページを再読み込みする</t>
  </si>
  <si>
    <t xml:space="preserve">履歴が消えずに表示される</t>
  </si>
  <si>
    <r>
      <rPr>
        <sz val="10"/>
        <rFont val="WenQuanYi Zen Hei"/>
        <family val="2"/>
      </rPr>
      <t xml:space="preserve">再読み込み後の履歴 </t>
    </r>
    <r>
      <rPr>
        <sz val="10"/>
        <rFont val="Meiryo"/>
        <family val="0"/>
        <charset val="1"/>
      </rPr>
      <t xml:space="preserve">["1+2 =3"]</t>
    </r>
  </si>
  <si>
    <t xml:space="preserve">T070</t>
  </si>
  <si>
    <t xml:space="preserve">履歴の消去</t>
  </si>
  <si>
    <t xml:space="preserve">「履歴を消去」ボタンを押す</t>
  </si>
  <si>
    <t xml:space="preserve">全ての履歴が消え、「履歴はありません」と表示される。消去後に再読み込みしても復活しない</t>
  </si>
  <si>
    <t xml:space="preserve">消去後「履歴はありません」、再読み込み後「履歴はありません」</t>
  </si>
  <si>
    <t xml:space="preserve">T071</t>
  </si>
  <si>
    <t xml:space="preserve">履歴の消去と表示欄</t>
  </si>
  <si>
    <t xml:space="preserve">入力中に「履歴を消去」ボタンを押す</t>
  </si>
  <si>
    <t xml:space="preserve">表示欄の入力内容は変わらない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</si>
  <si>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</si>
  <si>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T072</t>
  </si>
  <si>
    <t xml:space="preserve">履歴の上限</t>
  </si>
  <si>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回計算する</t>
    </r>
    <r>
      <rPr>
        <sz val="10"/>
        <rFont val="Meiryo"/>
        <family val="0"/>
        <charset val="1"/>
      </rPr>
      <t xml:space="preserve">(1+1= </t>
    </r>
    <r>
      <rPr>
        <sz val="10"/>
        <rFont val="WenQuanYi Zen Hei"/>
        <family val="2"/>
      </rPr>
      <t xml:space="preserve">を</t>
    </r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回繰り返す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</si>
  <si>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履歴は最新の</t>
    </r>
    <r>
      <rPr>
        <sz val="10"/>
        <rFont val="Meiryo"/>
        <family val="0"/>
        <charset val="1"/>
      </rPr>
      <t xml:space="preserve">50</t>
    </r>
    <r>
      <rPr>
        <sz val="10"/>
        <rFont val="WenQuanYi Zen Hei"/>
        <family val="2"/>
      </rPr>
      <t xml:space="preserve">件のみ表示される</t>
    </r>
  </si>
  <si>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回計算後の履歴件数 </t>
    </r>
    <r>
      <rPr>
        <sz val="10"/>
        <rFont val="Meiryo"/>
        <family val="0"/>
        <charset val="1"/>
      </rPr>
      <t xml:space="preserve">50</t>
    </r>
  </si>
  <si>
    <t xml:space="preserve">T073</t>
  </si>
  <si>
    <t xml:space="preserve">履歴が多いときの表示</t>
  </si>
  <si>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件以上計算する</t>
    </r>
  </si>
  <si>
    <t xml:space="preserve">履歴欄の中でスクロールでき、電卓全体のレイアウトは崩れない</t>
  </si>
  <si>
    <r>
      <rPr>
        <sz val="10"/>
        <rFont val="WenQuanYi Zen Hei"/>
        <family val="2"/>
      </rPr>
      <t xml:space="preserve">履歴欄の高さ </t>
    </r>
    <r>
      <rPr>
        <sz val="10"/>
        <rFont val="Meiryo"/>
        <family val="0"/>
        <charset val="1"/>
      </rPr>
      <t xml:space="preserve">140px(</t>
    </r>
    <r>
      <rPr>
        <sz val="10"/>
        <rFont val="WenQuanYi Zen Hei"/>
        <family val="2"/>
      </rPr>
      <t xml:space="preserve">内容 </t>
    </r>
    <r>
      <rPr>
        <sz val="10"/>
        <rFont val="Meiryo"/>
        <family val="0"/>
        <charset val="1"/>
      </rPr>
      <t xml:space="preserve">528px </t>
    </r>
    <r>
      <rPr>
        <sz val="10"/>
        <rFont val="WenQuanYi Zen Hei"/>
        <family val="2"/>
      </rPr>
      <t xml:space="preserve">でスクロール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、電卓の幅 </t>
    </r>
    <r>
      <rPr>
        <sz val="10"/>
        <rFont val="Meiryo"/>
        <family val="0"/>
        <charset val="1"/>
      </rPr>
      <t xml:space="preserve">320px</t>
    </r>
    <r>
      <rPr>
        <sz val="10"/>
        <rFont val="WenQuanYi Zen Hei"/>
        <family val="2"/>
      </rPr>
      <t xml:space="preserve">、横スクロールなし</t>
    </r>
    <r>
      <rPr>
        <sz val="10"/>
        <rFont val="Meiryo"/>
        <family val="0"/>
        <charset val="1"/>
      </rPr>
      <t xml:space="preserve">=true</t>
    </r>
  </si>
  <si>
    <t xml:space="preserve">T074</t>
  </si>
  <si>
    <t xml:space="preserve">連続計算の履歴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</si>
  <si>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+ 2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</si>
  <si>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3+4 =7</t>
    </r>
    <r>
      <rPr>
        <sz val="10"/>
        <rFont val="WenQuanYi Zen Hei"/>
        <family val="2"/>
      </rPr>
      <t xml:space="preserve">」と「</t>
    </r>
    <r>
      <rPr>
        <sz val="10"/>
        <rFont val="Meiryo"/>
        <family val="0"/>
        <charset val="1"/>
      </rPr>
      <t xml:space="preserve">7+2 =9</t>
    </r>
    <r>
      <rPr>
        <sz val="10"/>
        <rFont val="WenQuanYi Zen Hei"/>
        <family val="2"/>
      </rPr>
      <t xml:space="preserve">」の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件が記録される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</si>
  <si>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["7+2 =9","3+4 =7"]</t>
    </r>
  </si>
  <si>
    <t xml:space="preserve">T075</t>
  </si>
  <si>
    <r>
      <rPr>
        <sz val="10"/>
        <rFont val="WenQuanYi Zen Hei"/>
        <family val="2"/>
      </rPr>
      <t xml:space="preserve">ダウンロードボタンの状態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履歴なし</t>
    </r>
    <r>
      <rPr>
        <sz val="10"/>
        <rFont val="Meiryo"/>
        <family val="0"/>
        <charset val="1"/>
      </rPr>
      <t xml:space="preserve">)</t>
    </r>
  </si>
  <si>
    <t xml:space="preserve">履歴が空の状態で画面を表示する</t>
  </si>
  <si>
    <r>
      <rPr>
        <sz val="10"/>
        <rFont val="WenQuanYi Zen Hei"/>
        <family val="2"/>
      </rPr>
      <t xml:space="preserve">「ダウンロード」ボタンが押せない状態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グレー表示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になっている</t>
    </r>
  </si>
  <si>
    <r>
      <rPr>
        <sz val="10"/>
        <rFont val="WenQuanYi Zen Hei"/>
        <family val="2"/>
      </rPr>
      <t xml:space="preserve">履歴なしのとき、ダウンロードボタンの無効状態</t>
    </r>
    <r>
      <rPr>
        <sz val="10"/>
        <rFont val="Meiryo"/>
        <family val="0"/>
        <charset val="1"/>
      </rPr>
      <t xml:space="preserve">=true</t>
    </r>
  </si>
  <si>
    <t xml:space="preserve">T076</t>
  </si>
  <si>
    <t xml:space="preserve">履歴のダウンロード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</si>
  <si>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を実行し、「ダウンロード」ボタンを押す</t>
    </r>
  </si>
  <si>
    <r>
      <rPr>
        <sz val="10"/>
        <rFont val="Meiryo"/>
        <family val="0"/>
        <charset val="1"/>
      </rPr>
      <t xml:space="preserve">calculator-history_YYYYMMDD.csv(YYYYMMDD </t>
    </r>
    <r>
      <rPr>
        <sz val="10"/>
        <rFont val="WenQuanYi Zen Hei"/>
        <family val="2"/>
      </rPr>
      <t xml:space="preserve">は当日の日付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がダウンロードされる。ボタンは押せる状態になっている</t>
    </r>
  </si>
  <si>
    <r>
      <rPr>
        <sz val="10"/>
        <rFont val="WenQuanYi Zen Hei"/>
        <family val="2"/>
      </rPr>
      <t xml:space="preserve">ボタン有効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、ファイル名「</t>
    </r>
    <r>
      <rPr>
        <sz val="10"/>
        <rFont val="Meiryo"/>
        <family val="0"/>
        <charset val="1"/>
      </rPr>
      <t xml:space="preserve">calculator-history_20261006.csv</t>
    </r>
    <r>
      <rPr>
        <sz val="10"/>
        <rFont val="WenQuanYi Zen Hei"/>
        <family val="2"/>
      </rPr>
      <t xml:space="preserve">」</t>
    </r>
  </si>
  <si>
    <t xml:space="preserve">T077</t>
  </si>
  <si>
    <r>
      <rPr>
        <sz val="10"/>
        <rFont val="Meiryo"/>
        <family val="0"/>
        <charset val="1"/>
      </rPr>
      <t xml:space="preserve">CSV </t>
    </r>
    <r>
      <rPr>
        <sz val="10"/>
        <rFont val="WenQuanYi Zen Hei"/>
        <family val="2"/>
      </rPr>
      <t xml:space="preserve">の内容</t>
    </r>
  </si>
  <si>
    <r>
      <rPr>
        <sz val="10"/>
        <rFont val="Meiryo"/>
        <family val="0"/>
        <charset val="1"/>
      </rPr>
      <t xml:space="preserve">1 + 2 × 3 = </t>
    </r>
    <r>
      <rPr>
        <sz val="10"/>
        <rFont val="WenQuanYi Zen Hei"/>
        <family val="2"/>
      </rPr>
      <t xml:space="preserve">の後、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のあと </t>
    </r>
    <r>
      <rPr>
        <sz val="10"/>
        <rFont val="Meiryo"/>
        <family val="0"/>
        <charset val="1"/>
      </rPr>
      <t xml:space="preserve">8 ÷ 4 = </t>
    </r>
    <r>
      <rPr>
        <sz val="10"/>
        <rFont val="WenQuanYi Zen Hei"/>
        <family val="2"/>
      </rPr>
      <t xml:space="preserve">を実行し、ダウンロードした</t>
    </r>
    <r>
      <rPr>
        <sz val="10"/>
        <rFont val="Meiryo"/>
        <family val="0"/>
        <charset val="1"/>
      </rPr>
      <t xml:space="preserve">CSV</t>
    </r>
    <r>
      <rPr>
        <sz val="10"/>
        <rFont val="WenQuanYi Zen Hei"/>
        <family val="2"/>
      </rPr>
      <t xml:space="preserve">を確認する</t>
    </r>
  </si>
  <si>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行目が「日時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式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結果」。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行目以降は古い順で「日時</t>
    </r>
    <r>
      <rPr>
        <sz val="10"/>
        <rFont val="Meiryo"/>
        <family val="0"/>
        <charset val="1"/>
      </rPr>
      <t xml:space="preserve">(YYYY-MM-DD HH:mm:ss),1+2×3,7</t>
    </r>
    <r>
      <rPr>
        <sz val="10"/>
        <rFont val="WenQuanYi Zen Hei"/>
        <family val="2"/>
      </rPr>
      <t xml:space="preserve">」「日時</t>
    </r>
    <r>
      <rPr>
        <sz val="10"/>
        <rFont val="Meiryo"/>
        <family val="0"/>
        <charset val="1"/>
      </rPr>
      <t xml:space="preserve">,8÷4,2</t>
    </r>
    <r>
      <rPr>
        <sz val="10"/>
        <rFont val="WenQuanYi Zen Hei"/>
        <family val="2"/>
      </rPr>
      <t xml:space="preserve">」の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</t>
    </r>
  </si>
  <si>
    <r>
      <rPr>
        <sz val="10"/>
        <rFont val="Meiryo"/>
        <family val="0"/>
        <charset val="1"/>
      </rPr>
      <t xml:space="preserve">CSV: ["</t>
    </r>
    <r>
      <rPr>
        <sz val="10"/>
        <rFont val="WenQuanYi Zen Hei"/>
        <family val="2"/>
      </rPr>
      <t xml:space="preserve">日時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式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結果</t>
    </r>
    <r>
      <rPr>
        <sz val="10"/>
        <rFont val="Meiryo"/>
        <family val="0"/>
        <charset val="1"/>
      </rPr>
      <t xml:space="preserve">","&lt;</t>
    </r>
    <r>
      <rPr>
        <sz val="10"/>
        <rFont val="WenQuanYi Zen Hei"/>
        <family val="2"/>
      </rPr>
      <t xml:space="preserve">日時</t>
    </r>
    <r>
      <rPr>
        <sz val="10"/>
        <rFont val="Meiryo"/>
        <family val="0"/>
        <charset val="1"/>
      </rPr>
      <t xml:space="preserve">&gt;,1+2×3,7","&lt;</t>
    </r>
    <r>
      <rPr>
        <sz val="10"/>
        <rFont val="WenQuanYi Zen Hei"/>
        <family val="2"/>
      </rPr>
      <t xml:space="preserve">日時</t>
    </r>
    <r>
      <rPr>
        <sz val="10"/>
        <rFont val="Meiryo"/>
        <family val="0"/>
        <charset val="1"/>
      </rPr>
      <t xml:space="preserve">&gt;,8÷4,2",""]</t>
    </r>
  </si>
  <si>
    <t xml:space="preserve">T078</t>
  </si>
  <si>
    <r>
      <rPr>
        <sz val="10"/>
        <rFont val="Meiryo"/>
        <family val="0"/>
        <charset val="1"/>
      </rPr>
      <t xml:space="preserve">CSV </t>
    </r>
    <r>
      <rPr>
        <sz val="10"/>
        <rFont val="WenQuanYi Zen Hei"/>
        <family val="2"/>
      </rPr>
      <t xml:space="preserve">の文字コード</t>
    </r>
    <r>
      <rPr>
        <sz val="10"/>
        <rFont val="Meiryo"/>
        <family val="0"/>
        <charset val="1"/>
      </rPr>
      <t xml:space="preserve">(Excel </t>
    </r>
    <r>
      <rPr>
        <sz val="10"/>
        <rFont val="WenQuanYi Zen Hei"/>
        <family val="2"/>
      </rPr>
      <t xml:space="preserve">で文字化けしない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</si>
  <si>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ダウンロードした</t>
    </r>
    <r>
      <rPr>
        <sz val="10"/>
        <rFont val="Meiryo"/>
        <family val="0"/>
        <charset val="1"/>
      </rPr>
      <t xml:space="preserve">CSV</t>
    </r>
    <r>
      <rPr>
        <sz val="10"/>
        <rFont val="WenQuanYi Zen Hei"/>
        <family val="2"/>
      </rPr>
      <t xml:space="preserve">を </t>
    </r>
    <r>
      <rPr>
        <sz val="10"/>
        <rFont val="Meiryo"/>
        <family val="0"/>
        <charset val="1"/>
      </rPr>
      <t xml:space="preserve">Excel </t>
    </r>
    <r>
      <rPr>
        <sz val="10"/>
        <rFont val="WenQuanYi Zen Hei"/>
        <family val="2"/>
      </rPr>
      <t xml:space="preserve">で開く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ファイルの先頭に </t>
    </r>
    <r>
      <rPr>
        <sz val="10"/>
        <rFont val="Meiryo"/>
        <family val="0"/>
        <charset val="1"/>
      </rPr>
      <t xml:space="preserve">UTF-8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BOM </t>
    </r>
    <r>
      <rPr>
        <sz val="10"/>
        <rFont val="WenQuanYi Zen Hei"/>
        <family val="2"/>
      </rPr>
      <t xml:space="preserve">が付いている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</si>
  <si>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見出し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日時・式・結果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や </t>
    </r>
    <r>
      <rPr>
        <sz val="10"/>
        <rFont val="Meiryo"/>
        <family val="0"/>
        <charset val="1"/>
      </rPr>
      <t xml:space="preserve">×÷ </t>
    </r>
    <r>
      <rPr>
        <sz val="10"/>
        <rFont val="WenQuanYi Zen Hei"/>
        <family val="2"/>
      </rPr>
      <t xml:space="preserve">の記号が文字化けせず表示される</t>
    </r>
  </si>
  <si>
    <r>
      <rPr>
        <sz val="10"/>
        <rFont val="WenQuanYi Zen Hei"/>
        <family val="2"/>
      </rPr>
      <t xml:space="preserve">先頭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バイトが </t>
    </r>
    <r>
      <rPr>
        <sz val="10"/>
        <rFont val="Meiryo"/>
        <family val="0"/>
        <charset val="1"/>
      </rPr>
      <t xml:space="preserve">UTF-8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BOM(EF BB BF)=true(Excel </t>
    </r>
    <r>
      <rPr>
        <sz val="10"/>
        <rFont val="WenQuanYi Zen Hei"/>
        <family val="2"/>
      </rPr>
      <t xml:space="preserve">での目視確認は手動</t>
    </r>
    <r>
      <rPr>
        <sz val="10"/>
        <rFont val="Meiryo"/>
        <family val="0"/>
        <charset val="1"/>
      </rPr>
      <t xml:space="preserve">)</t>
    </r>
  </si>
  <si>
    <t xml:space="preserve">T079</t>
  </si>
  <si>
    <t xml:space="preserve">履歴消去後のダウンロードボタン</t>
  </si>
  <si>
    <t xml:space="preserve">履歴がある状態で「履歴を消去」を押す</t>
  </si>
  <si>
    <t xml:space="preserve">「ダウンロード」ボタンが押せない状態に戻る</t>
  </si>
  <si>
    <r>
      <rPr>
        <sz val="10"/>
        <rFont val="WenQuanYi Zen Hei"/>
        <family val="2"/>
      </rPr>
      <t xml:space="preserve">消去前の無効状態</t>
    </r>
    <r>
      <rPr>
        <sz val="10"/>
        <rFont val="Meiryo"/>
        <family val="0"/>
        <charset val="1"/>
      </rPr>
      <t xml:space="preserve">=false</t>
    </r>
    <r>
      <rPr>
        <sz val="10"/>
        <rFont val="WenQuanYi Zen Hei"/>
        <family val="2"/>
      </rPr>
      <t xml:space="preserve">、消去後の無効状態</t>
    </r>
    <r>
      <rPr>
        <sz val="10"/>
        <rFont val="Meiryo"/>
        <family val="0"/>
        <charset val="1"/>
      </rPr>
      <t xml:space="preserve">=true</t>
    </r>
  </si>
  <si>
    <t xml:space="preserve">T080</t>
  </si>
  <si>
    <t xml:space="preserve">キーボード操作</t>
  </si>
  <si>
    <t xml:space="preserve">数字キー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</si>
  <si>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</si>
  <si>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</si>
  <si>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</si>
  <si>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T081</t>
  </si>
  <si>
    <t xml:space="preserve">演算子キー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</si>
  <si>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6 * 7 Enter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</si>
  <si>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*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」として扱われ、結果が「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</si>
  <si>
    <t xml:space="preserve">T082</t>
  </si>
  <si>
    <t xml:space="preserve">割り算キー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</si>
  <si>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8 / 4 Enter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</si>
  <si>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」として扱われ、結果が「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ブラウザの検索が開かない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</si>
  <si>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」、「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」キーの既定動作の抑止</t>
    </r>
    <r>
      <rPr>
        <sz val="10"/>
        <rFont val="Meiryo"/>
        <family val="0"/>
        <charset val="1"/>
      </rPr>
      <t xml:space="preserve">=true</t>
    </r>
  </si>
  <si>
    <t xml:space="preserve">T083</t>
  </si>
  <si>
    <r>
      <rPr>
        <sz val="10"/>
        <rFont val="WenQuanYi Zen Hei"/>
        <family val="2"/>
      </rPr>
      <t xml:space="preserve">引き算キーと「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」キー</t>
    </r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</si>
  <si>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9 - 3 + 1 Enter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</si>
  <si>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</si>
  <si>
    <t xml:space="preserve">T084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</si>
  <si>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」キー</t>
    </r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</si>
  <si>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を押す</t>
    </r>
  </si>
  <si>
    <t xml:space="preserve">T085</t>
  </si>
  <si>
    <t xml:space="preserve">Backspace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</si>
  <si>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Backspace</t>
    </r>
  </si>
  <si>
    <t xml:space="preserve">T086</t>
  </si>
  <si>
    <t xml:space="preserve">Esc / Delete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</si>
  <si>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Esc(</t>
    </r>
    <r>
      <rPr>
        <sz val="10"/>
        <rFont val="WenQuanYi Zen Hei"/>
        <family val="2"/>
      </rPr>
      <t xml:space="preserve">または </t>
    </r>
    <r>
      <rPr>
        <sz val="10"/>
        <rFont val="Meiryo"/>
        <family val="0"/>
        <charset val="1"/>
      </rPr>
      <t xml:space="preserve">Delete)</t>
    </r>
  </si>
  <si>
    <r>
      <rPr>
        <sz val="10"/>
        <rFont val="Meiryo"/>
        <family val="0"/>
        <charset val="1"/>
      </rPr>
      <t xml:space="preserve">Esc </t>
    </r>
    <r>
      <rPr>
        <sz val="10"/>
        <rFont val="WenQuanYi Zen Hei"/>
        <family val="2"/>
      </rPr>
      <t xml:space="preserve">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Delete </t>
    </r>
    <r>
      <rPr>
        <sz val="10"/>
        <rFont val="WenQuanYi Zen Hei"/>
        <family val="2"/>
      </rPr>
      <t xml:space="preserve">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</si>
  <si>
    <t xml:space="preserve">T087</t>
  </si>
  <si>
    <t xml:space="preserve">小数点とパーセント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</si>
  <si>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5 0 % </t>
    </r>
    <r>
      <rPr>
        <sz val="10"/>
        <rFont val="WenQuanYi Zen Hei"/>
        <family val="2"/>
      </rPr>
      <t xml:space="preserve">を押す</t>
    </r>
  </si>
  <si>
    <t xml:space="preserve">T088</t>
  </si>
  <si>
    <t xml:space="preserve">動作環境</t>
  </si>
  <si>
    <t xml:space="preserve">Chrome</t>
  </si>
  <si>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で一連の基本操作を行う</t>
    </r>
  </si>
  <si>
    <t xml:space="preserve">全て正常に動作する</t>
  </si>
  <si>
    <r>
      <rPr>
        <sz val="10"/>
        <rFont val="Meiryo"/>
        <family val="0"/>
        <charset val="1"/>
      </rPr>
      <t xml:space="preserve">Chromium </t>
    </r>
    <r>
      <rPr>
        <sz val="10"/>
        <rFont val="WenQuanYi Zen Hei"/>
        <family val="2"/>
      </rPr>
      <t xml:space="preserve">で基本操作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四則・エラー・削除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を確認。</t>
    </r>
    <r>
      <rPr>
        <sz val="10"/>
        <rFont val="Meiryo"/>
        <family val="0"/>
        <charset val="1"/>
      </rPr>
      <t xml:space="preserve">UA: Chrome/141.0.7390.37</t>
    </r>
  </si>
  <si>
    <r>
      <rPr>
        <sz val="10"/>
        <rFont val="Meiryo"/>
        <family val="0"/>
        <charset val="1"/>
      </rPr>
      <t xml:space="preserve">Chromium(Chrome </t>
    </r>
    <r>
      <rPr>
        <sz val="10"/>
        <rFont val="WenQuanYi Zen Hei"/>
        <family val="2"/>
      </rPr>
      <t xml:space="preserve">と同じエンジン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で実施。製品版 </t>
    </r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での確認は未実施</t>
    </r>
  </si>
  <si>
    <t xml:space="preserve">T089</t>
  </si>
  <si>
    <t xml:space="preserve">Edge</t>
  </si>
  <si>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</si>
  <si>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は使用できないため未実施。</t>
    </r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で手動確認してください</t>
    </r>
  </si>
  <si>
    <t xml:space="preserve">T090</t>
  </si>
  <si>
    <t xml:space="preserve">Safari / iPhone</t>
  </si>
  <si>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</si>
  <si>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WenQuanYi Zen Hei"/>
        <family val="2"/>
      </rPr>
      <t xml:space="preserve">全て正常に動作する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タッチ操作でボタンが反応する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</si>
  <si>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Safari(</t>
    </r>
    <r>
      <rPr>
        <sz val="10"/>
        <rFont val="WenQuanYi Zen Hei"/>
        <family val="2"/>
      </rPr>
      <t xml:space="preserve">実機または </t>
    </r>
    <r>
      <rPr>
        <sz val="10"/>
        <rFont val="Meiryo"/>
        <family val="0"/>
        <charset val="1"/>
      </rPr>
      <t xml:space="preserve">Safari)</t>
    </r>
    <r>
      <rPr>
        <sz val="10"/>
        <rFont val="WenQuanYi Zen Hei"/>
        <family val="2"/>
      </rPr>
      <t xml:space="preserve">は使用できないため未実施。手動確認してください</t>
    </r>
  </si>
  <si>
    <t xml:space="preserve">T091</t>
  </si>
  <si>
    <t xml:space="preserve">Android Chrome</t>
  </si>
  <si>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</si>
  <si>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Chrome(</t>
    </r>
    <r>
      <rPr>
        <sz val="10"/>
        <rFont val="WenQuanYi Zen Hei"/>
        <family val="2"/>
      </rPr>
      <t xml:space="preserve">実機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は使用できないため未実施。手動確認してください</t>
    </r>
  </si>
  <si>
    <t xml:space="preserve">T092</t>
  </si>
  <si>
    <t xml:space="preserve">GitHub Pages</t>
  </si>
  <si>
    <r>
      <rPr>
        <sz val="10"/>
        <rFont val="WenQuanYi Zen Hei"/>
        <family val="2"/>
      </rPr>
      <t xml:space="preserve">公開 </t>
    </r>
    <r>
      <rPr>
        <sz val="10"/>
        <rFont val="Meiryo"/>
        <family val="0"/>
        <charset val="1"/>
      </rPr>
      <t xml:space="preserve">URL(https://ken1-lang.github.io/try_claude/)</t>
    </r>
    <r>
      <rPr>
        <sz val="10"/>
        <rFont val="WenQuanYi Zen Hei"/>
        <family val="2"/>
      </rPr>
      <t xml:space="preserve">を開く</t>
    </r>
  </si>
  <si>
    <t xml:space="preserve">電卓が表示され、基本操作が動作する</t>
  </si>
  <si>
    <r>
      <rPr>
        <sz val="10"/>
        <rFont val="WenQuanYi Zen Hei"/>
        <family val="2"/>
      </rPr>
      <t xml:space="preserve">公開</t>
    </r>
    <r>
      <rPr>
        <sz val="10"/>
        <rFont val="Meiryo"/>
        <family val="0"/>
        <charset val="1"/>
      </rPr>
      <t xml:space="preserve">URL</t>
    </r>
    <r>
      <rPr>
        <sz val="10"/>
        <rFont val="WenQuanYi Zen Hei"/>
        <family val="2"/>
      </rPr>
      <t xml:space="preserve">に接続できない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テスト環境から </t>
    </r>
    <r>
      <rPr>
        <sz val="10"/>
        <rFont val="Meiryo"/>
        <family val="0"/>
        <charset val="1"/>
      </rPr>
      <t xml:space="preserve">github.io </t>
    </r>
    <r>
      <rPr>
        <sz val="10"/>
        <rFont val="WenQuanYi Zen Hei"/>
        <family val="2"/>
      </rPr>
      <t xml:space="preserve">へ接続不可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ため未実施。手動確認してください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</si>
</sst>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/mm/dd"/>
    <numFmt numFmtId="166" formatCode="General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Meiryo"/>
      <family val="0"/>
      <charset val="1"/>
    </font>
    <font>
      <b val="true"/>
      <sz val="10"/>
      <name val="Meiryo"/>
      <family val="0"/>
      <charset val="1"/>
    </font>
    <font>
      <b val="true"/>
      <sz val="10"/>
      <color rgb="FFFFFFFF"/>
      <name val="Meiryo"/>
      <family val="0"/>
      <charset val="1"/>
    </font>
    <font>
      <b val="true"/>
      <sz val="10"/>
      <color rgb="FFFFFFFF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Meiryo"/>
        <charset val="1"/>
        <family val="0"/>
        <color rgb="FF006100"/>
      </font>
      <fill>
        <patternFill>
          <bgColor rgb="FFC6EFCE"/>
        </patternFill>
      </fill>
    </dxf>
    <dxf>
      <font>
        <name val="Meiryo"/>
        <charset val="1"/>
        <family val="0"/>
        <color rgb="FF9C0006"/>
      </font>
      <fill>
        <patternFill>
          <bgColor rgb="FFFFC7CE"/>
        </patternFill>
      </fill>
    </dxf>
    <dxf>
      <font>
        <name val="Meiryo"/>
        <charset val="1"/>
        <family val="0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4" t="s">
        <v>6</v>
      </c>
    </row>
    <row r="6" customFormat="false" ht="26.85" hidden="false" customHeight="false" outlineLevel="0" collapsed="false">
      <c r="A6" s="2" t="s">
        <v>7</v>
      </c>
      <c r="B6" s="3" t="s">
        <v>8</v>
      </c>
    </row>
    <row r="7" customFormat="false" ht="26.85" hidden="false" customHeight="false" outlineLevel="0" collapsed="false">
      <c r="A7" s="2" t="s">
        <v>9</v>
      </c>
      <c r="B7" s="4" t="s">
        <v>10</v>
      </c>
    </row>
    <row r="8" customFormat="false" ht="15" hidden="false" customHeight="false" outlineLevel="0" collapsed="false">
      <c r="A8" s="2" t="s">
        <v>11</v>
      </c>
      <c r="B8" s="5" t="n">
        <v>46301</v>
      </c>
    </row>
    <row r="9" customFormat="false" ht="26.85" hidden="false" customHeight="false" outlineLevel="0" collapsed="false">
      <c r="A9" s="2" t="s">
        <v>12</v>
      </c>
      <c r="B9" s="3" t="s">
        <v>13</v>
      </c>
    </row>
    <row r="10" customFormat="false" ht="26.85" hidden="false" customHeight="false" outlineLevel="0" collapsed="false">
      <c r="A10" s="2" t="s">
        <v>14</v>
      </c>
      <c r="B10" s="4" t="s">
        <v>15</v>
      </c>
    </row>
    <row r="12" customFormat="false" ht="15" hidden="false" customHeight="false" outlineLevel="0" collapsed="false">
      <c r="A12" s="2" t="s">
        <v>16</v>
      </c>
      <c r="B12" s="6" t="n">
        <f aca="false">COUNTA(テスト項目!A2:A93)</f>
        <v>92</v>
      </c>
    </row>
    <row r="13" customFormat="false" ht="15" hidden="false" customHeight="false" outlineLevel="0" collapsed="false">
      <c r="A13" s="7" t="s">
        <v>17</v>
      </c>
      <c r="B13" s="6" t="n">
        <f aca="false">COUNTIF(テスト項目!G2:G93,"OK")</f>
        <v>88</v>
      </c>
    </row>
    <row r="14" customFormat="false" ht="15" hidden="false" customHeight="false" outlineLevel="0" collapsed="false">
      <c r="A14" s="7" t="s">
        <v>18</v>
      </c>
      <c r="B14" s="6" t="n">
        <f aca="false">COUNTIF(テスト項目!G2:G93,"NG")</f>
        <v>0</v>
      </c>
    </row>
    <row r="15" customFormat="false" ht="15" hidden="false" customHeight="false" outlineLevel="0" collapsed="false">
      <c r="A15" s="2" t="s">
        <v>19</v>
      </c>
      <c r="B15" s="6" t="n">
        <f aca="false">B12-B13-B14</f>
        <v>4</v>
      </c>
    </row>
    <row r="16" customFormat="false" ht="15" hidden="false" customHeight="false" outlineLevel="0" collapsed="false">
      <c r="A16" s="2" t="s">
        <v>20</v>
      </c>
      <c r="B16" s="8" t="n">
        <f aca="false">IF(B12=0,0,(B13+B14)/B12)</f>
        <v>0.956521739130435</v>
      </c>
    </row>
    <row r="17" customFormat="false" ht="15" hidden="false" customHeight="false" outlineLevel="0" collapsed="false">
      <c r="A17" s="2" t="s">
        <v>21</v>
      </c>
      <c r="B17" s="8" t="n">
        <f aca="false">IF(B13+B14=0,0,B13/(B13+B14))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50"/>
    <col collapsed="false" customWidth="true" hidden="false" outlineLevel="0" max="6" min="6" style="0" width="46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40"/>
  </cols>
  <sheetData>
    <row r="1" customFormat="false" ht="24" hidden="false" customHeight="true" outlineLevel="0" collapsed="false">
      <c r="A1" s="9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11</v>
      </c>
      <c r="I1" s="10" t="s">
        <v>29</v>
      </c>
      <c r="J1" s="10" t="s">
        <v>30</v>
      </c>
    </row>
    <row r="2" customFormat="false" ht="52.2" hidden="false" customHeight="false" outlineLevel="0" collapsed="false">
      <c r="A2" s="11" t="s">
        <v>31</v>
      </c>
      <c r="B2" s="12" t="s">
        <v>32</v>
      </c>
      <c r="C2" s="12" t="s">
        <v>33</v>
      </c>
      <c r="D2" s="13" t="s">
        <v>34</v>
      </c>
      <c r="E2" s="12" t="s">
        <v>35</v>
      </c>
      <c r="F2" s="12" t="s">
        <v>36</v>
      </c>
      <c r="G2" s="11" t="s">
        <v>17</v>
      </c>
      <c r="H2" s="14" t="n">
        <v>46301</v>
      </c>
      <c r="I2" s="13" t="s">
        <v>37</v>
      </c>
      <c r="J2" s="12"/>
    </row>
    <row r="3" customFormat="false" ht="52.2" hidden="false" customHeight="false" outlineLevel="0" collapsed="false">
      <c r="A3" s="11" t="s">
        <v>38</v>
      </c>
      <c r="B3" s="12" t="s">
        <v>32</v>
      </c>
      <c r="C3" s="12" t="s">
        <v>39</v>
      </c>
      <c r="D3" s="13" t="s">
        <v>40</v>
      </c>
      <c r="E3" s="13" t="s">
        <v>41</v>
      </c>
      <c r="F3" s="13" t="s">
        <v>42</v>
      </c>
      <c r="G3" s="11" t="s">
        <v>17</v>
      </c>
      <c r="H3" s="14" t="n">
        <v>46301</v>
      </c>
      <c r="I3" s="13" t="s">
        <v>37</v>
      </c>
      <c r="J3" s="12"/>
    </row>
    <row r="4" customFormat="false" ht="15" hidden="false" customHeight="false" outlineLevel="0" collapsed="false">
      <c r="A4" s="11" t="s">
        <v>43</v>
      </c>
      <c r="B4" s="12" t="s">
        <v>32</v>
      </c>
      <c r="C4" s="12" t="s">
        <v>44</v>
      </c>
      <c r="D4" s="12" t="s">
        <v>45</v>
      </c>
      <c r="E4" s="12" t="s">
        <v>46</v>
      </c>
      <c r="F4" s="12" t="s">
        <v>47</v>
      </c>
      <c r="G4" s="11" t="s">
        <v>17</v>
      </c>
      <c r="H4" s="14" t="n">
        <v>46301</v>
      </c>
      <c r="I4" s="13" t="s">
        <v>37</v>
      </c>
      <c r="J4" s="12"/>
    </row>
    <row r="5" customFormat="false" ht="26.85" hidden="false" customHeight="false" outlineLevel="0" collapsed="false">
      <c r="A5" s="11" t="s">
        <v>48</v>
      </c>
      <c r="B5" s="12" t="s">
        <v>32</v>
      </c>
      <c r="C5" s="12" t="s">
        <v>49</v>
      </c>
      <c r="D5" s="12" t="s">
        <v>50</v>
      </c>
      <c r="E5" s="12" t="s">
        <v>51</v>
      </c>
      <c r="F5" s="12" t="s">
        <v>52</v>
      </c>
      <c r="G5" s="11" t="s">
        <v>17</v>
      </c>
      <c r="H5" s="14" t="n">
        <v>46301</v>
      </c>
      <c r="I5" s="13" t="s">
        <v>37</v>
      </c>
      <c r="J5" s="12"/>
    </row>
    <row r="6" customFormat="false" ht="15" hidden="false" customHeight="false" outlineLevel="0" collapsed="false">
      <c r="A6" s="11" t="s">
        <v>53</v>
      </c>
      <c r="B6" s="12" t="s">
        <v>54</v>
      </c>
      <c r="C6" s="12" t="s">
        <v>55</v>
      </c>
      <c r="D6" s="13" t="s">
        <v>56</v>
      </c>
      <c r="E6" s="12" t="s">
        <v>57</v>
      </c>
      <c r="F6" s="12" t="s">
        <v>58</v>
      </c>
      <c r="G6" s="11" t="s">
        <v>17</v>
      </c>
      <c r="H6" s="14" t="n">
        <v>46301</v>
      </c>
      <c r="I6" s="13" t="s">
        <v>37</v>
      </c>
      <c r="J6" s="12"/>
    </row>
    <row r="7" customFormat="false" ht="15" hidden="false" customHeight="false" outlineLevel="0" collapsed="false">
      <c r="A7" s="11" t="s">
        <v>59</v>
      </c>
      <c r="B7" s="12" t="s">
        <v>54</v>
      </c>
      <c r="C7" s="12" t="s">
        <v>60</v>
      </c>
      <c r="D7" s="13" t="s">
        <v>61</v>
      </c>
      <c r="E7" s="12" t="s">
        <v>62</v>
      </c>
      <c r="F7" s="12" t="s">
        <v>63</v>
      </c>
      <c r="G7" s="11" t="s">
        <v>17</v>
      </c>
      <c r="H7" s="14" t="n">
        <v>46301</v>
      </c>
      <c r="I7" s="13" t="s">
        <v>37</v>
      </c>
      <c r="J7" s="12"/>
    </row>
    <row r="8" customFormat="false" ht="15" hidden="false" customHeight="false" outlineLevel="0" collapsed="false">
      <c r="A8" s="11" t="s">
        <v>64</v>
      </c>
      <c r="B8" s="12" t="s">
        <v>54</v>
      </c>
      <c r="C8" s="12" t="s">
        <v>65</v>
      </c>
      <c r="D8" s="13" t="s">
        <v>66</v>
      </c>
      <c r="E8" s="12" t="s">
        <v>67</v>
      </c>
      <c r="F8" s="12" t="s">
        <v>68</v>
      </c>
      <c r="G8" s="11" t="s">
        <v>17</v>
      </c>
      <c r="H8" s="14" t="n">
        <v>46301</v>
      </c>
      <c r="I8" s="13" t="s">
        <v>37</v>
      </c>
      <c r="J8" s="12"/>
    </row>
    <row r="9" customFormat="false" ht="15" hidden="false" customHeight="false" outlineLevel="0" collapsed="false">
      <c r="A9" s="11" t="s">
        <v>69</v>
      </c>
      <c r="B9" s="12" t="s">
        <v>54</v>
      </c>
      <c r="C9" s="12" t="s">
        <v>70</v>
      </c>
      <c r="D9" s="13" t="s">
        <v>71</v>
      </c>
      <c r="E9" s="12" t="s">
        <v>72</v>
      </c>
      <c r="F9" s="12" t="s">
        <v>73</v>
      </c>
      <c r="G9" s="11" t="s">
        <v>17</v>
      </c>
      <c r="H9" s="14" t="n">
        <v>46301</v>
      </c>
      <c r="I9" s="13" t="s">
        <v>37</v>
      </c>
      <c r="J9" s="12"/>
    </row>
    <row r="10" customFormat="false" ht="15" hidden="false" customHeight="false" outlineLevel="0" collapsed="false">
      <c r="A10" s="11" t="s">
        <v>74</v>
      </c>
      <c r="B10" s="12" t="s">
        <v>54</v>
      </c>
      <c r="C10" s="12" t="s">
        <v>75</v>
      </c>
      <c r="D10" s="13" t="s">
        <v>76</v>
      </c>
      <c r="E10" s="12" t="s">
        <v>77</v>
      </c>
      <c r="F10" s="12" t="s">
        <v>78</v>
      </c>
      <c r="G10" s="11" t="s">
        <v>17</v>
      </c>
      <c r="H10" s="14" t="n">
        <v>46301</v>
      </c>
      <c r="I10" s="13" t="s">
        <v>37</v>
      </c>
      <c r="J10" s="12"/>
    </row>
    <row r="11" customFormat="false" ht="15" hidden="false" customHeight="false" outlineLevel="0" collapsed="false">
      <c r="A11" s="11" t="s">
        <v>79</v>
      </c>
      <c r="B11" s="12" t="s">
        <v>54</v>
      </c>
      <c r="C11" s="12" t="s">
        <v>80</v>
      </c>
      <c r="D11" s="13" t="s">
        <v>81</v>
      </c>
      <c r="E11" s="12" t="s">
        <v>82</v>
      </c>
      <c r="F11" s="12" t="s">
        <v>83</v>
      </c>
      <c r="G11" s="11" t="s">
        <v>17</v>
      </c>
      <c r="H11" s="14" t="n">
        <v>46301</v>
      </c>
      <c r="I11" s="13" t="s">
        <v>37</v>
      </c>
      <c r="J11" s="12"/>
    </row>
    <row r="12" customFormat="false" ht="15" hidden="false" customHeight="false" outlineLevel="0" collapsed="false">
      <c r="A12" s="11" t="s">
        <v>84</v>
      </c>
      <c r="B12" s="12" t="s">
        <v>54</v>
      </c>
      <c r="C12" s="12" t="s">
        <v>85</v>
      </c>
      <c r="D12" s="13" t="s">
        <v>86</v>
      </c>
      <c r="E12" s="12" t="s">
        <v>87</v>
      </c>
      <c r="F12" s="12" t="s">
        <v>88</v>
      </c>
      <c r="G12" s="11" t="s">
        <v>17</v>
      </c>
      <c r="H12" s="14" t="n">
        <v>46301</v>
      </c>
      <c r="I12" s="13" t="s">
        <v>37</v>
      </c>
      <c r="J12" s="12"/>
    </row>
    <row r="13" customFormat="false" ht="15" hidden="false" customHeight="false" outlineLevel="0" collapsed="false">
      <c r="A13" s="11" t="s">
        <v>89</v>
      </c>
      <c r="B13" s="12" t="s">
        <v>54</v>
      </c>
      <c r="C13" s="12" t="s">
        <v>90</v>
      </c>
      <c r="D13" s="13" t="s">
        <v>91</v>
      </c>
      <c r="E13" s="12" t="s">
        <v>62</v>
      </c>
      <c r="F13" s="12" t="s">
        <v>63</v>
      </c>
      <c r="G13" s="11" t="s">
        <v>17</v>
      </c>
      <c r="H13" s="14" t="n">
        <v>46301</v>
      </c>
      <c r="I13" s="13" t="s">
        <v>37</v>
      </c>
      <c r="J13" s="12"/>
    </row>
    <row r="14" customFormat="false" ht="15" hidden="false" customHeight="false" outlineLevel="0" collapsed="false">
      <c r="A14" s="11" t="s">
        <v>92</v>
      </c>
      <c r="B14" s="12" t="s">
        <v>54</v>
      </c>
      <c r="C14" s="12" t="s">
        <v>93</v>
      </c>
      <c r="D14" s="13" t="s">
        <v>94</v>
      </c>
      <c r="E14" s="12" t="s">
        <v>95</v>
      </c>
      <c r="F14" s="12" t="s">
        <v>96</v>
      </c>
      <c r="G14" s="11" t="s">
        <v>17</v>
      </c>
      <c r="H14" s="14" t="n">
        <v>46301</v>
      </c>
      <c r="I14" s="13" t="s">
        <v>37</v>
      </c>
      <c r="J14" s="12"/>
    </row>
    <row r="15" customFormat="false" ht="26.85" hidden="false" customHeight="false" outlineLevel="0" collapsed="false">
      <c r="A15" s="11" t="s">
        <v>97</v>
      </c>
      <c r="B15" s="12" t="s">
        <v>54</v>
      </c>
      <c r="C15" s="12" t="s">
        <v>98</v>
      </c>
      <c r="D15" s="13" t="s">
        <v>99</v>
      </c>
      <c r="E15" s="12" t="s">
        <v>100</v>
      </c>
      <c r="F15" s="12" t="s">
        <v>101</v>
      </c>
      <c r="G15" s="11" t="s">
        <v>17</v>
      </c>
      <c r="H15" s="14" t="n">
        <v>46301</v>
      </c>
      <c r="I15" s="13" t="s">
        <v>37</v>
      </c>
      <c r="J15" s="12"/>
    </row>
    <row r="16" customFormat="false" ht="15" hidden="false" customHeight="false" outlineLevel="0" collapsed="false">
      <c r="A16" s="11" t="s">
        <v>102</v>
      </c>
      <c r="B16" s="12" t="s">
        <v>103</v>
      </c>
      <c r="C16" s="12" t="s">
        <v>104</v>
      </c>
      <c r="D16" s="13" t="s">
        <v>105</v>
      </c>
      <c r="E16" s="12" t="s">
        <v>106</v>
      </c>
      <c r="F16" s="12" t="s">
        <v>107</v>
      </c>
      <c r="G16" s="11" t="s">
        <v>17</v>
      </c>
      <c r="H16" s="14" t="n">
        <v>46301</v>
      </c>
      <c r="I16" s="13" t="s">
        <v>37</v>
      </c>
      <c r="J16" s="12"/>
    </row>
    <row r="17" customFormat="false" ht="15" hidden="false" customHeight="false" outlineLevel="0" collapsed="false">
      <c r="A17" s="11" t="s">
        <v>108</v>
      </c>
      <c r="B17" s="12" t="s">
        <v>103</v>
      </c>
      <c r="C17" s="12" t="s">
        <v>109</v>
      </c>
      <c r="D17" s="13" t="s">
        <v>110</v>
      </c>
      <c r="E17" s="12" t="s">
        <v>111</v>
      </c>
      <c r="F17" s="12" t="s">
        <v>107</v>
      </c>
      <c r="G17" s="11" t="s">
        <v>17</v>
      </c>
      <c r="H17" s="14" t="n">
        <v>46301</v>
      </c>
      <c r="I17" s="13" t="s">
        <v>37</v>
      </c>
      <c r="J17" s="12"/>
    </row>
    <row r="18" customFormat="false" ht="15" hidden="false" customHeight="false" outlineLevel="0" collapsed="false">
      <c r="A18" s="11" t="s">
        <v>112</v>
      </c>
      <c r="B18" s="12" t="s">
        <v>103</v>
      </c>
      <c r="C18" s="13" t="s">
        <v>113</v>
      </c>
      <c r="D18" s="13" t="s">
        <v>114</v>
      </c>
      <c r="E18" s="12" t="s">
        <v>115</v>
      </c>
      <c r="F18" s="12" t="s">
        <v>116</v>
      </c>
      <c r="G18" s="11" t="s">
        <v>17</v>
      </c>
      <c r="H18" s="14" t="n">
        <v>46301</v>
      </c>
      <c r="I18" s="13" t="s">
        <v>37</v>
      </c>
      <c r="J18" s="12"/>
    </row>
    <row r="19" customFormat="false" ht="15" hidden="false" customHeight="false" outlineLevel="0" collapsed="false">
      <c r="A19" s="11" t="s">
        <v>117</v>
      </c>
      <c r="B19" s="12" t="s">
        <v>103</v>
      </c>
      <c r="C19" s="12" t="s">
        <v>118</v>
      </c>
      <c r="D19" s="13" t="s">
        <v>119</v>
      </c>
      <c r="E19" s="12" t="s">
        <v>120</v>
      </c>
      <c r="F19" s="12" t="s">
        <v>121</v>
      </c>
      <c r="G19" s="11" t="s">
        <v>17</v>
      </c>
      <c r="H19" s="14" t="n">
        <v>46301</v>
      </c>
      <c r="I19" s="13" t="s">
        <v>37</v>
      </c>
      <c r="J19" s="12"/>
    </row>
    <row r="20" customFormat="false" ht="15" hidden="false" customHeight="false" outlineLevel="0" collapsed="false">
      <c r="A20" s="11" t="s">
        <v>122</v>
      </c>
      <c r="B20" s="12" t="s">
        <v>123</v>
      </c>
      <c r="C20" s="12" t="s">
        <v>124</v>
      </c>
      <c r="D20" s="12" t="s">
        <v>125</v>
      </c>
      <c r="E20" s="12" t="s">
        <v>126</v>
      </c>
      <c r="F20" s="12" t="s">
        <v>127</v>
      </c>
      <c r="G20" s="11" t="s">
        <v>17</v>
      </c>
      <c r="H20" s="14" t="n">
        <v>46301</v>
      </c>
      <c r="I20" s="13" t="s">
        <v>37</v>
      </c>
      <c r="J20" s="12"/>
    </row>
    <row r="21" customFormat="false" ht="15" hidden="false" customHeight="false" outlineLevel="0" collapsed="false">
      <c r="A21" s="11" t="s">
        <v>128</v>
      </c>
      <c r="B21" s="12" t="s">
        <v>123</v>
      </c>
      <c r="C21" s="12" t="s">
        <v>129</v>
      </c>
      <c r="D21" s="13" t="s">
        <v>130</v>
      </c>
      <c r="E21" s="13" t="s">
        <v>131</v>
      </c>
      <c r="F21" s="12" t="s">
        <v>132</v>
      </c>
      <c r="G21" s="11" t="s">
        <v>17</v>
      </c>
      <c r="H21" s="14" t="n">
        <v>46301</v>
      </c>
      <c r="I21" s="13" t="s">
        <v>37</v>
      </c>
      <c r="J21" s="12"/>
    </row>
    <row r="22" customFormat="false" ht="15" hidden="false" customHeight="false" outlineLevel="0" collapsed="false">
      <c r="A22" s="11" t="s">
        <v>133</v>
      </c>
      <c r="B22" s="12" t="s">
        <v>123</v>
      </c>
      <c r="C22" s="12" t="s">
        <v>134</v>
      </c>
      <c r="D22" s="13" t="s">
        <v>135</v>
      </c>
      <c r="E22" s="12" t="s">
        <v>136</v>
      </c>
      <c r="F22" s="12" t="s">
        <v>73</v>
      </c>
      <c r="G22" s="11" t="s">
        <v>17</v>
      </c>
      <c r="H22" s="14" t="n">
        <v>46301</v>
      </c>
      <c r="I22" s="13" t="s">
        <v>37</v>
      </c>
      <c r="J22" s="12"/>
    </row>
    <row r="23" customFormat="false" ht="15" hidden="false" customHeight="false" outlineLevel="0" collapsed="false">
      <c r="A23" s="11" t="s">
        <v>137</v>
      </c>
      <c r="B23" s="12" t="s">
        <v>123</v>
      </c>
      <c r="C23" s="12" t="s">
        <v>138</v>
      </c>
      <c r="D23" s="13" t="s">
        <v>139</v>
      </c>
      <c r="E23" s="13" t="s">
        <v>140</v>
      </c>
      <c r="F23" s="12" t="s">
        <v>141</v>
      </c>
      <c r="G23" s="11" t="s">
        <v>17</v>
      </c>
      <c r="H23" s="14" t="n">
        <v>46301</v>
      </c>
      <c r="I23" s="13" t="s">
        <v>37</v>
      </c>
      <c r="J23" s="12"/>
    </row>
    <row r="24" customFormat="false" ht="26.85" hidden="false" customHeight="false" outlineLevel="0" collapsed="false">
      <c r="A24" s="11" t="s">
        <v>142</v>
      </c>
      <c r="B24" s="12" t="s">
        <v>143</v>
      </c>
      <c r="C24" s="12" t="s">
        <v>144</v>
      </c>
      <c r="D24" s="12" t="s">
        <v>145</v>
      </c>
      <c r="E24" s="12" t="s">
        <v>146</v>
      </c>
      <c r="F24" s="12" t="s">
        <v>147</v>
      </c>
      <c r="G24" s="11" t="s">
        <v>17</v>
      </c>
      <c r="H24" s="14" t="n">
        <v>46301</v>
      </c>
      <c r="I24" s="13" t="s">
        <v>37</v>
      </c>
      <c r="J24" s="12"/>
    </row>
    <row r="25" customFormat="false" ht="15" hidden="false" customHeight="false" outlineLevel="0" collapsed="false">
      <c r="A25" s="11" t="s">
        <v>148</v>
      </c>
      <c r="B25" s="12" t="s">
        <v>143</v>
      </c>
      <c r="C25" s="12" t="s">
        <v>149</v>
      </c>
      <c r="D25" s="13" t="s">
        <v>150</v>
      </c>
      <c r="E25" s="12" t="s">
        <v>151</v>
      </c>
      <c r="F25" s="12" t="s">
        <v>152</v>
      </c>
      <c r="G25" s="11" t="s">
        <v>17</v>
      </c>
      <c r="H25" s="14" t="n">
        <v>46301</v>
      </c>
      <c r="I25" s="13" t="s">
        <v>37</v>
      </c>
      <c r="J25" s="12"/>
    </row>
    <row r="26" customFormat="false" ht="15" hidden="false" customHeight="false" outlineLevel="0" collapsed="false">
      <c r="A26" s="11" t="s">
        <v>153</v>
      </c>
      <c r="B26" s="12" t="s">
        <v>143</v>
      </c>
      <c r="C26" s="12" t="s">
        <v>154</v>
      </c>
      <c r="D26" s="13" t="s">
        <v>155</v>
      </c>
      <c r="E26" s="12" t="s">
        <v>156</v>
      </c>
      <c r="F26" s="12" t="s">
        <v>157</v>
      </c>
      <c r="G26" s="11" t="s">
        <v>17</v>
      </c>
      <c r="H26" s="14" t="n">
        <v>46301</v>
      </c>
      <c r="I26" s="13" t="s">
        <v>37</v>
      </c>
      <c r="J26" s="12"/>
    </row>
    <row r="27" customFormat="false" ht="15" hidden="false" customHeight="false" outlineLevel="0" collapsed="false">
      <c r="A27" s="11" t="s">
        <v>158</v>
      </c>
      <c r="B27" s="12" t="s">
        <v>143</v>
      </c>
      <c r="C27" s="12" t="s">
        <v>159</v>
      </c>
      <c r="D27" s="13" t="s">
        <v>160</v>
      </c>
      <c r="E27" s="12" t="s">
        <v>161</v>
      </c>
      <c r="F27" s="12" t="s">
        <v>162</v>
      </c>
      <c r="G27" s="11" t="s">
        <v>17</v>
      </c>
      <c r="H27" s="14" t="n">
        <v>46301</v>
      </c>
      <c r="I27" s="13" t="s">
        <v>37</v>
      </c>
      <c r="J27" s="12"/>
    </row>
    <row r="28" customFormat="false" ht="15" hidden="false" customHeight="false" outlineLevel="0" collapsed="false">
      <c r="A28" s="11" t="s">
        <v>163</v>
      </c>
      <c r="B28" s="12" t="s">
        <v>143</v>
      </c>
      <c r="C28" s="12" t="s">
        <v>164</v>
      </c>
      <c r="D28" s="12" t="s">
        <v>165</v>
      </c>
      <c r="E28" s="12" t="s">
        <v>166</v>
      </c>
      <c r="F28" s="12" t="s">
        <v>167</v>
      </c>
      <c r="G28" s="11" t="s">
        <v>17</v>
      </c>
      <c r="H28" s="14" t="n">
        <v>46301</v>
      </c>
      <c r="I28" s="13" t="s">
        <v>37</v>
      </c>
      <c r="J28" s="12"/>
    </row>
    <row r="29" customFormat="false" ht="15" hidden="false" customHeight="false" outlineLevel="0" collapsed="false">
      <c r="A29" s="11" t="s">
        <v>168</v>
      </c>
      <c r="B29" s="12" t="s">
        <v>169</v>
      </c>
      <c r="C29" s="12" t="s">
        <v>170</v>
      </c>
      <c r="D29" s="13" t="s">
        <v>171</v>
      </c>
      <c r="E29" s="12" t="s">
        <v>172</v>
      </c>
      <c r="F29" s="12" t="s">
        <v>173</v>
      </c>
      <c r="G29" s="11" t="s">
        <v>17</v>
      </c>
      <c r="H29" s="14" t="n">
        <v>46301</v>
      </c>
      <c r="I29" s="13" t="s">
        <v>37</v>
      </c>
      <c r="J29" s="12"/>
    </row>
    <row r="30" customFormat="false" ht="15" hidden="false" customHeight="false" outlineLevel="0" collapsed="false">
      <c r="A30" s="11" t="s">
        <v>174</v>
      </c>
      <c r="B30" s="12" t="s">
        <v>169</v>
      </c>
      <c r="C30" s="12" t="s">
        <v>175</v>
      </c>
      <c r="D30" s="13" t="s">
        <v>176</v>
      </c>
      <c r="E30" s="12" t="s">
        <v>177</v>
      </c>
      <c r="F30" s="12" t="s">
        <v>162</v>
      </c>
      <c r="G30" s="11" t="s">
        <v>17</v>
      </c>
      <c r="H30" s="14" t="n">
        <v>46301</v>
      </c>
      <c r="I30" s="13" t="s">
        <v>37</v>
      </c>
      <c r="J30" s="12"/>
    </row>
    <row r="31" customFormat="false" ht="15" hidden="false" customHeight="false" outlineLevel="0" collapsed="false">
      <c r="A31" s="11" t="s">
        <v>178</v>
      </c>
      <c r="B31" s="12" t="s">
        <v>169</v>
      </c>
      <c r="C31" s="12" t="s">
        <v>179</v>
      </c>
      <c r="D31" s="13" t="s">
        <v>180</v>
      </c>
      <c r="E31" s="12" t="s">
        <v>181</v>
      </c>
      <c r="F31" s="12" t="s">
        <v>182</v>
      </c>
      <c r="G31" s="11" t="s">
        <v>17</v>
      </c>
      <c r="H31" s="14" t="n">
        <v>46301</v>
      </c>
      <c r="I31" s="13" t="s">
        <v>37</v>
      </c>
      <c r="J31" s="12"/>
    </row>
    <row r="32" customFormat="false" ht="15" hidden="false" customHeight="false" outlineLevel="0" collapsed="false">
      <c r="A32" s="11" t="s">
        <v>183</v>
      </c>
      <c r="B32" s="12" t="s">
        <v>184</v>
      </c>
      <c r="C32" s="12" t="s">
        <v>185</v>
      </c>
      <c r="D32" s="13" t="s">
        <v>186</v>
      </c>
      <c r="E32" s="12" t="s">
        <v>187</v>
      </c>
      <c r="F32" s="12" t="s">
        <v>188</v>
      </c>
      <c r="G32" s="11" t="s">
        <v>17</v>
      </c>
      <c r="H32" s="14" t="n">
        <v>46301</v>
      </c>
      <c r="I32" s="13" t="s">
        <v>37</v>
      </c>
      <c r="J32" s="12"/>
    </row>
    <row r="33" customFormat="false" ht="15" hidden="false" customHeight="false" outlineLevel="0" collapsed="false">
      <c r="A33" s="11" t="s">
        <v>189</v>
      </c>
      <c r="B33" s="12" t="s">
        <v>184</v>
      </c>
      <c r="C33" s="12" t="s">
        <v>190</v>
      </c>
      <c r="D33" s="13" t="s">
        <v>191</v>
      </c>
      <c r="E33" s="12" t="s">
        <v>192</v>
      </c>
      <c r="F33" s="12" t="s">
        <v>147</v>
      </c>
      <c r="G33" s="11" t="s">
        <v>17</v>
      </c>
      <c r="H33" s="14" t="n">
        <v>46301</v>
      </c>
      <c r="I33" s="13" t="s">
        <v>37</v>
      </c>
      <c r="J33" s="12"/>
    </row>
    <row r="34" customFormat="false" ht="15" hidden="false" customHeight="false" outlineLevel="0" collapsed="false">
      <c r="A34" s="11" t="s">
        <v>193</v>
      </c>
      <c r="B34" s="12" t="s">
        <v>184</v>
      </c>
      <c r="C34" s="12" t="s">
        <v>194</v>
      </c>
      <c r="D34" s="13" t="s">
        <v>195</v>
      </c>
      <c r="E34" s="12" t="s">
        <v>196</v>
      </c>
      <c r="F34" s="12" t="s">
        <v>197</v>
      </c>
      <c r="G34" s="11" t="s">
        <v>17</v>
      </c>
      <c r="H34" s="14" t="n">
        <v>46301</v>
      </c>
      <c r="I34" s="13" t="s">
        <v>37</v>
      </c>
      <c r="J34" s="12"/>
    </row>
    <row r="35" customFormat="false" ht="15" hidden="false" customHeight="false" outlineLevel="0" collapsed="false">
      <c r="A35" s="11" t="s">
        <v>198</v>
      </c>
      <c r="B35" s="12" t="s">
        <v>184</v>
      </c>
      <c r="C35" s="12" t="s">
        <v>199</v>
      </c>
      <c r="D35" s="12" t="s">
        <v>200</v>
      </c>
      <c r="E35" s="12" t="s">
        <v>201</v>
      </c>
      <c r="F35" s="12" t="s">
        <v>202</v>
      </c>
      <c r="G35" s="11" t="s">
        <v>17</v>
      </c>
      <c r="H35" s="14" t="n">
        <v>46301</v>
      </c>
      <c r="I35" s="13" t="s">
        <v>37</v>
      </c>
      <c r="J35" s="12"/>
    </row>
    <row r="36" customFormat="false" ht="15" hidden="false" customHeight="false" outlineLevel="0" collapsed="false">
      <c r="A36" s="11" t="s">
        <v>203</v>
      </c>
      <c r="B36" s="13" t="s">
        <v>204</v>
      </c>
      <c r="C36" s="12" t="s">
        <v>205</v>
      </c>
      <c r="D36" s="13" t="s">
        <v>206</v>
      </c>
      <c r="E36" s="12" t="s">
        <v>207</v>
      </c>
      <c r="F36" s="12" t="s">
        <v>208</v>
      </c>
      <c r="G36" s="11" t="s">
        <v>17</v>
      </c>
      <c r="H36" s="14" t="n">
        <v>46301</v>
      </c>
      <c r="I36" s="13" t="s">
        <v>37</v>
      </c>
      <c r="J36" s="12"/>
    </row>
    <row r="37" customFormat="false" ht="15" hidden="false" customHeight="false" outlineLevel="0" collapsed="false">
      <c r="A37" s="11" t="s">
        <v>209</v>
      </c>
      <c r="B37" s="13" t="s">
        <v>204</v>
      </c>
      <c r="C37" s="12" t="s">
        <v>210</v>
      </c>
      <c r="D37" s="13" t="s">
        <v>211</v>
      </c>
      <c r="E37" s="12" t="s">
        <v>212</v>
      </c>
      <c r="F37" s="12" t="s">
        <v>208</v>
      </c>
      <c r="G37" s="11" t="s">
        <v>17</v>
      </c>
      <c r="H37" s="14" t="n">
        <v>46301</v>
      </c>
      <c r="I37" s="13" t="s">
        <v>37</v>
      </c>
      <c r="J37" s="12"/>
    </row>
    <row r="38" customFormat="false" ht="15" hidden="false" customHeight="false" outlineLevel="0" collapsed="false">
      <c r="A38" s="11" t="s">
        <v>213</v>
      </c>
      <c r="B38" s="13" t="s">
        <v>204</v>
      </c>
      <c r="C38" s="12" t="s">
        <v>214</v>
      </c>
      <c r="D38" s="13" t="s">
        <v>215</v>
      </c>
      <c r="E38" s="12" t="s">
        <v>216</v>
      </c>
      <c r="F38" s="12" t="s">
        <v>217</v>
      </c>
      <c r="G38" s="11" t="s">
        <v>17</v>
      </c>
      <c r="H38" s="14" t="n">
        <v>46301</v>
      </c>
      <c r="I38" s="13" t="s">
        <v>37</v>
      </c>
      <c r="J38" s="12"/>
    </row>
    <row r="39" customFormat="false" ht="15" hidden="false" customHeight="false" outlineLevel="0" collapsed="false">
      <c r="A39" s="11" t="s">
        <v>218</v>
      </c>
      <c r="B39" s="13" t="s">
        <v>204</v>
      </c>
      <c r="C39" s="12" t="s">
        <v>219</v>
      </c>
      <c r="D39" s="13" t="s">
        <v>220</v>
      </c>
      <c r="E39" s="12" t="s">
        <v>221</v>
      </c>
      <c r="F39" s="12" t="s">
        <v>147</v>
      </c>
      <c r="G39" s="11" t="s">
        <v>17</v>
      </c>
      <c r="H39" s="14" t="n">
        <v>46301</v>
      </c>
      <c r="I39" s="13" t="s">
        <v>37</v>
      </c>
      <c r="J39" s="12"/>
    </row>
    <row r="40" customFormat="false" ht="15" hidden="false" customHeight="false" outlineLevel="0" collapsed="false">
      <c r="A40" s="11" t="s">
        <v>222</v>
      </c>
      <c r="B40" s="13" t="s">
        <v>204</v>
      </c>
      <c r="C40" s="12" t="s">
        <v>223</v>
      </c>
      <c r="D40" s="12" t="s">
        <v>224</v>
      </c>
      <c r="E40" s="12" t="s">
        <v>225</v>
      </c>
      <c r="F40" s="12" t="s">
        <v>147</v>
      </c>
      <c r="G40" s="11" t="s">
        <v>17</v>
      </c>
      <c r="H40" s="14" t="n">
        <v>46301</v>
      </c>
      <c r="I40" s="13" t="s">
        <v>37</v>
      </c>
      <c r="J40" s="12"/>
    </row>
    <row r="41" customFormat="false" ht="15" hidden="false" customHeight="false" outlineLevel="0" collapsed="false">
      <c r="A41" s="11" t="s">
        <v>226</v>
      </c>
      <c r="B41" s="13" t="s">
        <v>204</v>
      </c>
      <c r="C41" s="12" t="s">
        <v>227</v>
      </c>
      <c r="D41" s="13" t="s">
        <v>228</v>
      </c>
      <c r="E41" s="12" t="s">
        <v>229</v>
      </c>
      <c r="F41" s="12" t="s">
        <v>157</v>
      </c>
      <c r="G41" s="11" t="s">
        <v>17</v>
      </c>
      <c r="H41" s="14" t="n">
        <v>46301</v>
      </c>
      <c r="I41" s="13" t="s">
        <v>37</v>
      </c>
      <c r="J41" s="12"/>
    </row>
    <row r="42" customFormat="false" ht="15" hidden="false" customHeight="false" outlineLevel="0" collapsed="false">
      <c r="A42" s="11" t="s">
        <v>230</v>
      </c>
      <c r="B42" s="13" t="s">
        <v>204</v>
      </c>
      <c r="C42" s="12" t="s">
        <v>231</v>
      </c>
      <c r="D42" s="13" t="s">
        <v>232</v>
      </c>
      <c r="E42" s="12" t="s">
        <v>233</v>
      </c>
      <c r="F42" s="12" t="s">
        <v>147</v>
      </c>
      <c r="G42" s="11" t="s">
        <v>17</v>
      </c>
      <c r="H42" s="14" t="n">
        <v>46301</v>
      </c>
      <c r="I42" s="13" t="s">
        <v>37</v>
      </c>
      <c r="J42" s="12"/>
    </row>
    <row r="43" customFormat="false" ht="15" hidden="false" customHeight="false" outlineLevel="0" collapsed="false">
      <c r="A43" s="11" t="s">
        <v>234</v>
      </c>
      <c r="B43" s="12" t="s">
        <v>235</v>
      </c>
      <c r="C43" s="12" t="s">
        <v>236</v>
      </c>
      <c r="D43" s="13" t="s">
        <v>237</v>
      </c>
      <c r="E43" s="12" t="s">
        <v>238</v>
      </c>
      <c r="F43" s="12" t="s">
        <v>127</v>
      </c>
      <c r="G43" s="11" t="s">
        <v>17</v>
      </c>
      <c r="H43" s="14" t="n">
        <v>46301</v>
      </c>
      <c r="I43" s="13" t="s">
        <v>37</v>
      </c>
      <c r="J43" s="12"/>
    </row>
    <row r="44" customFormat="false" ht="15" hidden="false" customHeight="false" outlineLevel="0" collapsed="false">
      <c r="A44" s="11" t="s">
        <v>239</v>
      </c>
      <c r="B44" s="12" t="s">
        <v>235</v>
      </c>
      <c r="C44" s="12" t="s">
        <v>240</v>
      </c>
      <c r="D44" s="13" t="s">
        <v>241</v>
      </c>
      <c r="E44" s="13" t="s">
        <v>242</v>
      </c>
      <c r="F44" s="12" t="s">
        <v>243</v>
      </c>
      <c r="G44" s="11" t="s">
        <v>17</v>
      </c>
      <c r="H44" s="14" t="n">
        <v>46301</v>
      </c>
      <c r="I44" s="13" t="s">
        <v>37</v>
      </c>
      <c r="J44" s="12"/>
    </row>
    <row r="45" customFormat="false" ht="15" hidden="false" customHeight="false" outlineLevel="0" collapsed="false">
      <c r="A45" s="11" t="s">
        <v>244</v>
      </c>
      <c r="B45" s="12" t="s">
        <v>235</v>
      </c>
      <c r="C45" s="12" t="s">
        <v>245</v>
      </c>
      <c r="D45" s="12" t="s">
        <v>246</v>
      </c>
      <c r="E45" s="12" t="s">
        <v>247</v>
      </c>
      <c r="F45" s="12" t="s">
        <v>147</v>
      </c>
      <c r="G45" s="11" t="s">
        <v>17</v>
      </c>
      <c r="H45" s="14" t="n">
        <v>46301</v>
      </c>
      <c r="I45" s="13" t="s">
        <v>37</v>
      </c>
      <c r="J45" s="12"/>
    </row>
    <row r="46" customFormat="false" ht="26.85" hidden="false" customHeight="false" outlineLevel="0" collapsed="false">
      <c r="A46" s="11" t="s">
        <v>248</v>
      </c>
      <c r="B46" s="12" t="s">
        <v>249</v>
      </c>
      <c r="C46" s="12" t="s">
        <v>250</v>
      </c>
      <c r="D46" s="12" t="s">
        <v>251</v>
      </c>
      <c r="E46" s="12" t="s">
        <v>252</v>
      </c>
      <c r="F46" s="12" t="s">
        <v>253</v>
      </c>
      <c r="G46" s="11" t="s">
        <v>17</v>
      </c>
      <c r="H46" s="14" t="n">
        <v>46301</v>
      </c>
      <c r="I46" s="13" t="s">
        <v>37</v>
      </c>
      <c r="J46" s="12"/>
    </row>
    <row r="47" customFormat="false" ht="15" hidden="false" customHeight="false" outlineLevel="0" collapsed="false">
      <c r="A47" s="11" t="s">
        <v>254</v>
      </c>
      <c r="B47" s="12" t="s">
        <v>249</v>
      </c>
      <c r="C47" s="12" t="s">
        <v>255</v>
      </c>
      <c r="D47" s="13" t="s">
        <v>256</v>
      </c>
      <c r="E47" s="12" t="s">
        <v>257</v>
      </c>
      <c r="F47" s="12" t="s">
        <v>258</v>
      </c>
      <c r="G47" s="11" t="s">
        <v>17</v>
      </c>
      <c r="H47" s="14" t="n">
        <v>46301</v>
      </c>
      <c r="I47" s="13" t="s">
        <v>37</v>
      </c>
      <c r="J47" s="12"/>
    </row>
    <row r="48" customFormat="false" ht="26.85" hidden="false" customHeight="false" outlineLevel="0" collapsed="false">
      <c r="A48" s="11" t="s">
        <v>259</v>
      </c>
      <c r="B48" s="12" t="s">
        <v>249</v>
      </c>
      <c r="C48" s="12" t="s">
        <v>260</v>
      </c>
      <c r="D48" s="13" t="s">
        <v>261</v>
      </c>
      <c r="E48" s="12" t="s">
        <v>262</v>
      </c>
      <c r="F48" s="12" t="s">
        <v>263</v>
      </c>
      <c r="G48" s="11" t="s">
        <v>17</v>
      </c>
      <c r="H48" s="14" t="n">
        <v>46301</v>
      </c>
      <c r="I48" s="13" t="s">
        <v>37</v>
      </c>
      <c r="J48" s="12"/>
    </row>
    <row r="49" customFormat="false" ht="15" hidden="false" customHeight="false" outlineLevel="0" collapsed="false">
      <c r="A49" s="11" t="s">
        <v>264</v>
      </c>
      <c r="B49" s="12" t="s">
        <v>249</v>
      </c>
      <c r="C49" s="12" t="s">
        <v>265</v>
      </c>
      <c r="D49" s="13" t="s">
        <v>266</v>
      </c>
      <c r="E49" s="12" t="s">
        <v>267</v>
      </c>
      <c r="F49" s="12" t="s">
        <v>268</v>
      </c>
      <c r="G49" s="11" t="s">
        <v>17</v>
      </c>
      <c r="H49" s="14" t="n">
        <v>46301</v>
      </c>
      <c r="I49" s="13" t="s">
        <v>37</v>
      </c>
      <c r="J49" s="12"/>
    </row>
    <row r="50" customFormat="false" ht="15" hidden="false" customHeight="false" outlineLevel="0" collapsed="false">
      <c r="A50" s="11" t="s">
        <v>269</v>
      </c>
      <c r="B50" s="12" t="s">
        <v>249</v>
      </c>
      <c r="C50" s="12" t="s">
        <v>270</v>
      </c>
      <c r="D50" s="13" t="s">
        <v>271</v>
      </c>
      <c r="E50" s="12" t="s">
        <v>272</v>
      </c>
      <c r="F50" s="12" t="s">
        <v>273</v>
      </c>
      <c r="G50" s="11" t="s">
        <v>17</v>
      </c>
      <c r="H50" s="14" t="n">
        <v>46301</v>
      </c>
      <c r="I50" s="13" t="s">
        <v>37</v>
      </c>
      <c r="J50" s="12"/>
    </row>
    <row r="51" customFormat="false" ht="26.85" hidden="false" customHeight="false" outlineLevel="0" collapsed="false">
      <c r="A51" s="11" t="s">
        <v>274</v>
      </c>
      <c r="B51" s="12" t="s">
        <v>249</v>
      </c>
      <c r="C51" s="12" t="s">
        <v>275</v>
      </c>
      <c r="D51" s="12" t="s">
        <v>276</v>
      </c>
      <c r="E51" s="12" t="s">
        <v>166</v>
      </c>
      <c r="F51" s="12" t="s">
        <v>167</v>
      </c>
      <c r="G51" s="11" t="s">
        <v>17</v>
      </c>
      <c r="H51" s="14" t="n">
        <v>46301</v>
      </c>
      <c r="I51" s="13" t="s">
        <v>37</v>
      </c>
      <c r="J51" s="12"/>
    </row>
    <row r="52" customFormat="false" ht="15" hidden="false" customHeight="false" outlineLevel="0" collapsed="false">
      <c r="A52" s="11" t="s">
        <v>277</v>
      </c>
      <c r="B52" s="12" t="s">
        <v>249</v>
      </c>
      <c r="C52" s="12" t="s">
        <v>278</v>
      </c>
      <c r="D52" s="13" t="s">
        <v>279</v>
      </c>
      <c r="E52" s="12" t="s">
        <v>280</v>
      </c>
      <c r="F52" s="12" t="s">
        <v>281</v>
      </c>
      <c r="G52" s="11" t="s">
        <v>17</v>
      </c>
      <c r="H52" s="14" t="n">
        <v>46301</v>
      </c>
      <c r="I52" s="13" t="s">
        <v>37</v>
      </c>
      <c r="J52" s="12"/>
    </row>
    <row r="53" customFormat="false" ht="15" hidden="false" customHeight="false" outlineLevel="0" collapsed="false">
      <c r="A53" s="11" t="s">
        <v>282</v>
      </c>
      <c r="B53" s="12" t="s">
        <v>249</v>
      </c>
      <c r="C53" s="12" t="s">
        <v>283</v>
      </c>
      <c r="D53" s="13" t="s">
        <v>256</v>
      </c>
      <c r="E53" s="12" t="s">
        <v>284</v>
      </c>
      <c r="F53" s="12" t="s">
        <v>285</v>
      </c>
      <c r="G53" s="11" t="s">
        <v>17</v>
      </c>
      <c r="H53" s="14" t="n">
        <v>46301</v>
      </c>
      <c r="I53" s="13" t="s">
        <v>37</v>
      </c>
      <c r="J53" s="12"/>
    </row>
    <row r="54" customFormat="false" ht="26.85" hidden="false" customHeight="false" outlineLevel="0" collapsed="false">
      <c r="A54" s="11" t="s">
        <v>286</v>
      </c>
      <c r="B54" s="12" t="s">
        <v>249</v>
      </c>
      <c r="C54" s="12" t="s">
        <v>287</v>
      </c>
      <c r="D54" s="12" t="s">
        <v>288</v>
      </c>
      <c r="E54" s="12" t="s">
        <v>289</v>
      </c>
      <c r="F54" s="12" t="s">
        <v>290</v>
      </c>
      <c r="G54" s="11" t="s">
        <v>17</v>
      </c>
      <c r="H54" s="14" t="n">
        <v>46301</v>
      </c>
      <c r="I54" s="13" t="s">
        <v>37</v>
      </c>
      <c r="J54" s="12"/>
    </row>
    <row r="55" customFormat="false" ht="26.85" hidden="false" customHeight="false" outlineLevel="0" collapsed="false">
      <c r="A55" s="11" t="s">
        <v>291</v>
      </c>
      <c r="B55" s="12" t="s">
        <v>249</v>
      </c>
      <c r="C55" s="12" t="s">
        <v>292</v>
      </c>
      <c r="D55" s="12" t="s">
        <v>293</v>
      </c>
      <c r="E55" s="12" t="s">
        <v>294</v>
      </c>
      <c r="F55" s="12" t="s">
        <v>295</v>
      </c>
      <c r="G55" s="11" t="s">
        <v>17</v>
      </c>
      <c r="H55" s="14" t="n">
        <v>46301</v>
      </c>
      <c r="I55" s="13" t="s">
        <v>37</v>
      </c>
      <c r="J55" s="12"/>
    </row>
    <row r="56" customFormat="false" ht="26.85" hidden="false" customHeight="false" outlineLevel="0" collapsed="false">
      <c r="A56" s="11" t="s">
        <v>296</v>
      </c>
      <c r="B56" s="12" t="s">
        <v>249</v>
      </c>
      <c r="C56" s="12" t="s">
        <v>297</v>
      </c>
      <c r="D56" s="12" t="s">
        <v>298</v>
      </c>
      <c r="E56" s="12" t="s">
        <v>299</v>
      </c>
      <c r="F56" s="12" t="s">
        <v>300</v>
      </c>
      <c r="G56" s="11" t="s">
        <v>17</v>
      </c>
      <c r="H56" s="14" t="n">
        <v>46301</v>
      </c>
      <c r="I56" s="13" t="s">
        <v>37</v>
      </c>
      <c r="J56" s="12"/>
    </row>
    <row r="57" customFormat="false" ht="26.85" hidden="false" customHeight="false" outlineLevel="0" collapsed="false">
      <c r="A57" s="11" t="s">
        <v>301</v>
      </c>
      <c r="B57" s="12" t="s">
        <v>249</v>
      </c>
      <c r="C57" s="12" t="s">
        <v>302</v>
      </c>
      <c r="D57" s="12" t="s">
        <v>303</v>
      </c>
      <c r="E57" s="12" t="s">
        <v>304</v>
      </c>
      <c r="F57" s="12" t="s">
        <v>305</v>
      </c>
      <c r="G57" s="11" t="s">
        <v>17</v>
      </c>
      <c r="H57" s="14" t="n">
        <v>46301</v>
      </c>
      <c r="I57" s="13" t="s">
        <v>37</v>
      </c>
      <c r="J57" s="12"/>
    </row>
    <row r="58" customFormat="false" ht="26.85" hidden="false" customHeight="false" outlineLevel="0" collapsed="false">
      <c r="A58" s="11" t="s">
        <v>306</v>
      </c>
      <c r="B58" s="12" t="s">
        <v>249</v>
      </c>
      <c r="C58" s="12" t="s">
        <v>307</v>
      </c>
      <c r="D58" s="12" t="s">
        <v>308</v>
      </c>
      <c r="E58" s="12" t="s">
        <v>309</v>
      </c>
      <c r="F58" s="12" t="s">
        <v>310</v>
      </c>
      <c r="G58" s="11" t="s">
        <v>17</v>
      </c>
      <c r="H58" s="14" t="n">
        <v>46301</v>
      </c>
      <c r="I58" s="13" t="s">
        <v>37</v>
      </c>
      <c r="J58" s="12"/>
    </row>
    <row r="59" customFormat="false" ht="26.85" hidden="false" customHeight="false" outlineLevel="0" collapsed="false">
      <c r="A59" s="11" t="s">
        <v>311</v>
      </c>
      <c r="B59" s="12" t="s">
        <v>249</v>
      </c>
      <c r="C59" s="12" t="s">
        <v>312</v>
      </c>
      <c r="D59" s="12" t="s">
        <v>313</v>
      </c>
      <c r="E59" s="12" t="s">
        <v>314</v>
      </c>
      <c r="F59" s="12" t="s">
        <v>315</v>
      </c>
      <c r="G59" s="11" t="s">
        <v>17</v>
      </c>
      <c r="H59" s="14" t="n">
        <v>46301</v>
      </c>
      <c r="I59" s="13" t="s">
        <v>37</v>
      </c>
      <c r="J59" s="12"/>
    </row>
    <row r="60" customFormat="false" ht="26.85" hidden="false" customHeight="false" outlineLevel="0" collapsed="false">
      <c r="A60" s="11" t="s">
        <v>316</v>
      </c>
      <c r="B60" s="12" t="s">
        <v>249</v>
      </c>
      <c r="C60" s="12" t="s">
        <v>317</v>
      </c>
      <c r="D60" s="12" t="s">
        <v>318</v>
      </c>
      <c r="E60" s="12" t="s">
        <v>319</v>
      </c>
      <c r="F60" s="12" t="s">
        <v>320</v>
      </c>
      <c r="G60" s="11" t="s">
        <v>17</v>
      </c>
      <c r="H60" s="14" t="n">
        <v>46301</v>
      </c>
      <c r="I60" s="13" t="s">
        <v>37</v>
      </c>
      <c r="J60" s="12"/>
    </row>
    <row r="61" customFormat="false" ht="26.85" hidden="false" customHeight="false" outlineLevel="0" collapsed="false">
      <c r="A61" s="11" t="s">
        <v>321</v>
      </c>
      <c r="B61" s="12" t="s">
        <v>249</v>
      </c>
      <c r="C61" s="12" t="s">
        <v>322</v>
      </c>
      <c r="D61" s="12" t="s">
        <v>323</v>
      </c>
      <c r="E61" s="12" t="s">
        <v>324</v>
      </c>
      <c r="F61" s="13" t="s">
        <v>325</v>
      </c>
      <c r="G61" s="11" t="s">
        <v>17</v>
      </c>
      <c r="H61" s="14" t="n">
        <v>46301</v>
      </c>
      <c r="I61" s="13" t="s">
        <v>37</v>
      </c>
      <c r="J61" s="12"/>
    </row>
    <row r="62" customFormat="false" ht="39.55" hidden="false" customHeight="false" outlineLevel="0" collapsed="false">
      <c r="A62" s="11" t="s">
        <v>326</v>
      </c>
      <c r="B62" s="12" t="s">
        <v>249</v>
      </c>
      <c r="C62" s="13" t="s">
        <v>327</v>
      </c>
      <c r="D62" s="12" t="s">
        <v>328</v>
      </c>
      <c r="E62" s="13" t="s">
        <v>329</v>
      </c>
      <c r="F62" s="13" t="s">
        <v>330</v>
      </c>
      <c r="G62" s="11" t="s">
        <v>17</v>
      </c>
      <c r="H62" s="14" t="n">
        <v>46301</v>
      </c>
      <c r="I62" s="13" t="s">
        <v>37</v>
      </c>
      <c r="J62" s="12"/>
    </row>
    <row r="63" customFormat="false" ht="26.85" hidden="false" customHeight="false" outlineLevel="0" collapsed="false">
      <c r="A63" s="11" t="s">
        <v>331</v>
      </c>
      <c r="B63" s="12" t="s">
        <v>249</v>
      </c>
      <c r="C63" s="12" t="s">
        <v>332</v>
      </c>
      <c r="D63" s="12" t="s">
        <v>333</v>
      </c>
      <c r="E63" s="12" t="s">
        <v>334</v>
      </c>
      <c r="F63" s="12" t="s">
        <v>335</v>
      </c>
      <c r="G63" s="11" t="s">
        <v>17</v>
      </c>
      <c r="H63" s="14" t="n">
        <v>46301</v>
      </c>
      <c r="I63" s="13" t="s">
        <v>37</v>
      </c>
      <c r="J63" s="12"/>
    </row>
    <row r="64" customFormat="false" ht="15" hidden="false" customHeight="false" outlineLevel="0" collapsed="false">
      <c r="A64" s="11" t="s">
        <v>336</v>
      </c>
      <c r="B64" s="12" t="s">
        <v>337</v>
      </c>
      <c r="C64" s="13" t="s">
        <v>338</v>
      </c>
      <c r="D64" s="13" t="s">
        <v>339</v>
      </c>
      <c r="E64" s="12" t="s">
        <v>340</v>
      </c>
      <c r="F64" s="12" t="s">
        <v>341</v>
      </c>
      <c r="G64" s="11" t="s">
        <v>17</v>
      </c>
      <c r="H64" s="14" t="n">
        <v>46301</v>
      </c>
      <c r="I64" s="13" t="s">
        <v>37</v>
      </c>
      <c r="J64" s="12"/>
    </row>
    <row r="65" customFormat="false" ht="15" hidden="false" customHeight="false" outlineLevel="0" collapsed="false">
      <c r="A65" s="11" t="s">
        <v>342</v>
      </c>
      <c r="B65" s="12" t="s">
        <v>337</v>
      </c>
      <c r="C65" s="12" t="s">
        <v>343</v>
      </c>
      <c r="D65" s="13" t="s">
        <v>344</v>
      </c>
      <c r="E65" s="12" t="s">
        <v>345</v>
      </c>
      <c r="F65" s="12" t="s">
        <v>346</v>
      </c>
      <c r="G65" s="11" t="s">
        <v>17</v>
      </c>
      <c r="H65" s="14" t="n">
        <v>46301</v>
      </c>
      <c r="I65" s="13" t="s">
        <v>37</v>
      </c>
      <c r="J65" s="12"/>
    </row>
    <row r="66" customFormat="false" ht="15" hidden="false" customHeight="false" outlineLevel="0" collapsed="false">
      <c r="A66" s="11" t="s">
        <v>347</v>
      </c>
      <c r="B66" s="12" t="s">
        <v>337</v>
      </c>
      <c r="C66" s="12" t="s">
        <v>348</v>
      </c>
      <c r="D66" s="13" t="s">
        <v>349</v>
      </c>
      <c r="E66" s="12" t="s">
        <v>350</v>
      </c>
      <c r="F66" s="12" t="s">
        <v>351</v>
      </c>
      <c r="G66" s="11" t="s">
        <v>17</v>
      </c>
      <c r="H66" s="14" t="n">
        <v>46301</v>
      </c>
      <c r="I66" s="13" t="s">
        <v>37</v>
      </c>
      <c r="J66" s="12"/>
    </row>
    <row r="67" customFormat="false" ht="15" hidden="false" customHeight="false" outlineLevel="0" collapsed="false">
      <c r="A67" s="11" t="s">
        <v>352</v>
      </c>
      <c r="B67" s="12" t="s">
        <v>353</v>
      </c>
      <c r="C67" s="12" t="s">
        <v>354</v>
      </c>
      <c r="D67" s="13" t="s">
        <v>355</v>
      </c>
      <c r="E67" s="12" t="s">
        <v>356</v>
      </c>
      <c r="F67" s="12" t="s">
        <v>202</v>
      </c>
      <c r="G67" s="11" t="s">
        <v>17</v>
      </c>
      <c r="H67" s="14" t="n">
        <v>46301</v>
      </c>
      <c r="I67" s="13" t="s">
        <v>37</v>
      </c>
      <c r="J67" s="12"/>
    </row>
    <row r="68" customFormat="false" ht="15" hidden="false" customHeight="false" outlineLevel="0" collapsed="false">
      <c r="A68" s="11" t="s">
        <v>357</v>
      </c>
      <c r="B68" s="12" t="s">
        <v>353</v>
      </c>
      <c r="C68" s="12" t="s">
        <v>358</v>
      </c>
      <c r="D68" s="13" t="s">
        <v>359</v>
      </c>
      <c r="E68" s="12" t="s">
        <v>360</v>
      </c>
      <c r="F68" s="12" t="s">
        <v>361</v>
      </c>
      <c r="G68" s="11" t="s">
        <v>17</v>
      </c>
      <c r="H68" s="14" t="n">
        <v>46301</v>
      </c>
      <c r="I68" s="13" t="s">
        <v>37</v>
      </c>
      <c r="J68" s="12"/>
    </row>
    <row r="69" customFormat="false" ht="26.85" hidden="false" customHeight="false" outlineLevel="0" collapsed="false">
      <c r="A69" s="11" t="s">
        <v>362</v>
      </c>
      <c r="B69" s="12" t="s">
        <v>353</v>
      </c>
      <c r="C69" s="12" t="s">
        <v>363</v>
      </c>
      <c r="D69" s="12" t="s">
        <v>364</v>
      </c>
      <c r="E69" s="12" t="s">
        <v>365</v>
      </c>
      <c r="F69" s="12" t="s">
        <v>366</v>
      </c>
      <c r="G69" s="11" t="s">
        <v>17</v>
      </c>
      <c r="H69" s="14" t="n">
        <v>46301</v>
      </c>
      <c r="I69" s="13" t="s">
        <v>37</v>
      </c>
      <c r="J69" s="12"/>
    </row>
    <row r="70" customFormat="false" ht="26.85" hidden="false" customHeight="false" outlineLevel="0" collapsed="false">
      <c r="A70" s="11" t="s">
        <v>367</v>
      </c>
      <c r="B70" s="12" t="s">
        <v>353</v>
      </c>
      <c r="C70" s="12" t="s">
        <v>368</v>
      </c>
      <c r="D70" s="12" t="s">
        <v>369</v>
      </c>
      <c r="E70" s="12" t="s">
        <v>370</v>
      </c>
      <c r="F70" s="12" t="s">
        <v>371</v>
      </c>
      <c r="G70" s="11" t="s">
        <v>17</v>
      </c>
      <c r="H70" s="14" t="n">
        <v>46301</v>
      </c>
      <c r="I70" s="13" t="s">
        <v>37</v>
      </c>
      <c r="J70" s="12"/>
    </row>
    <row r="71" customFormat="false" ht="26.85" hidden="false" customHeight="false" outlineLevel="0" collapsed="false">
      <c r="A71" s="11" t="s">
        <v>372</v>
      </c>
      <c r="B71" s="12" t="s">
        <v>353</v>
      </c>
      <c r="C71" s="12" t="s">
        <v>373</v>
      </c>
      <c r="D71" s="12" t="s">
        <v>374</v>
      </c>
      <c r="E71" s="12" t="s">
        <v>375</v>
      </c>
      <c r="F71" s="12" t="s">
        <v>376</v>
      </c>
      <c r="G71" s="11" t="s">
        <v>17</v>
      </c>
      <c r="H71" s="14" t="n">
        <v>46301</v>
      </c>
      <c r="I71" s="13" t="s">
        <v>37</v>
      </c>
      <c r="J71" s="12"/>
    </row>
    <row r="72" customFormat="false" ht="15" hidden="false" customHeight="false" outlineLevel="0" collapsed="false">
      <c r="A72" s="11" t="s">
        <v>377</v>
      </c>
      <c r="B72" s="12" t="s">
        <v>353</v>
      </c>
      <c r="C72" s="12" t="s">
        <v>378</v>
      </c>
      <c r="D72" s="12" t="s">
        <v>379</v>
      </c>
      <c r="E72" s="12" t="s">
        <v>380</v>
      </c>
      <c r="F72" s="12" t="s">
        <v>381</v>
      </c>
      <c r="G72" s="11" t="s">
        <v>17</v>
      </c>
      <c r="H72" s="14" t="n">
        <v>46301</v>
      </c>
      <c r="I72" s="13" t="s">
        <v>37</v>
      </c>
      <c r="J72" s="12"/>
    </row>
    <row r="73" customFormat="false" ht="15" hidden="false" customHeight="false" outlineLevel="0" collapsed="false">
      <c r="A73" s="11" t="s">
        <v>382</v>
      </c>
      <c r="B73" s="12" t="s">
        <v>353</v>
      </c>
      <c r="C73" s="12" t="s">
        <v>383</v>
      </c>
      <c r="D73" s="13" t="s">
        <v>384</v>
      </c>
      <c r="E73" s="12" t="s">
        <v>385</v>
      </c>
      <c r="F73" s="13" t="s">
        <v>386</v>
      </c>
      <c r="G73" s="11" t="s">
        <v>17</v>
      </c>
      <c r="H73" s="14" t="n">
        <v>46301</v>
      </c>
      <c r="I73" s="13" t="s">
        <v>37</v>
      </c>
      <c r="J73" s="12"/>
    </row>
    <row r="74" customFormat="false" ht="26.85" hidden="false" customHeight="false" outlineLevel="0" collapsed="false">
      <c r="A74" s="11" t="s">
        <v>387</v>
      </c>
      <c r="B74" s="12" t="s">
        <v>353</v>
      </c>
      <c r="C74" s="12" t="s">
        <v>388</v>
      </c>
      <c r="D74" s="13" t="s">
        <v>389</v>
      </c>
      <c r="E74" s="12" t="s">
        <v>390</v>
      </c>
      <c r="F74" s="12" t="s">
        <v>391</v>
      </c>
      <c r="G74" s="11" t="s">
        <v>17</v>
      </c>
      <c r="H74" s="14" t="n">
        <v>46301</v>
      </c>
      <c r="I74" s="13" t="s">
        <v>37</v>
      </c>
      <c r="J74" s="12"/>
    </row>
    <row r="75" customFormat="false" ht="15" hidden="false" customHeight="false" outlineLevel="0" collapsed="false">
      <c r="A75" s="11" t="s">
        <v>392</v>
      </c>
      <c r="B75" s="12" t="s">
        <v>353</v>
      </c>
      <c r="C75" s="12" t="s">
        <v>393</v>
      </c>
      <c r="D75" s="13" t="s">
        <v>394</v>
      </c>
      <c r="E75" s="12" t="s">
        <v>395</v>
      </c>
      <c r="F75" s="12" t="s">
        <v>396</v>
      </c>
      <c r="G75" s="11" t="s">
        <v>17</v>
      </c>
      <c r="H75" s="14" t="n">
        <v>46301</v>
      </c>
      <c r="I75" s="13" t="s">
        <v>37</v>
      </c>
      <c r="J75" s="12"/>
    </row>
    <row r="76" customFormat="false" ht="26.85" hidden="false" customHeight="false" outlineLevel="0" collapsed="false">
      <c r="A76" s="11" t="s">
        <v>397</v>
      </c>
      <c r="B76" s="12" t="s">
        <v>353</v>
      </c>
      <c r="C76" s="12" t="s">
        <v>398</v>
      </c>
      <c r="D76" s="12" t="s">
        <v>399</v>
      </c>
      <c r="E76" s="12" t="s">
        <v>400</v>
      </c>
      <c r="F76" s="12" t="s">
        <v>401</v>
      </c>
      <c r="G76" s="11" t="s">
        <v>17</v>
      </c>
      <c r="H76" s="14" t="n">
        <v>46301</v>
      </c>
      <c r="I76" s="13" t="s">
        <v>37</v>
      </c>
      <c r="J76" s="12"/>
    </row>
    <row r="77" customFormat="false" ht="39.55" hidden="false" customHeight="false" outlineLevel="0" collapsed="false">
      <c r="A77" s="11" t="s">
        <v>402</v>
      </c>
      <c r="B77" s="12" t="s">
        <v>353</v>
      </c>
      <c r="C77" s="12" t="s">
        <v>403</v>
      </c>
      <c r="D77" s="13" t="s">
        <v>404</v>
      </c>
      <c r="E77" s="13" t="s">
        <v>405</v>
      </c>
      <c r="F77" s="12" t="s">
        <v>406</v>
      </c>
      <c r="G77" s="11" t="s">
        <v>17</v>
      </c>
      <c r="H77" s="14" t="n">
        <v>46301</v>
      </c>
      <c r="I77" s="13" t="s">
        <v>37</v>
      </c>
      <c r="J77" s="12"/>
    </row>
    <row r="78" customFormat="false" ht="39.55" hidden="false" customHeight="false" outlineLevel="0" collapsed="false">
      <c r="A78" s="11" t="s">
        <v>407</v>
      </c>
      <c r="B78" s="12" t="s">
        <v>353</v>
      </c>
      <c r="C78" s="13" t="s">
        <v>408</v>
      </c>
      <c r="D78" s="13" t="s">
        <v>409</v>
      </c>
      <c r="E78" s="13" t="s">
        <v>410</v>
      </c>
      <c r="F78" s="13" t="s">
        <v>411</v>
      </c>
      <c r="G78" s="11" t="s">
        <v>17</v>
      </c>
      <c r="H78" s="14" t="n">
        <v>46301</v>
      </c>
      <c r="I78" s="13" t="s">
        <v>37</v>
      </c>
      <c r="J78" s="12"/>
    </row>
    <row r="79" customFormat="false" ht="26.85" hidden="false" customHeight="false" outlineLevel="0" collapsed="false">
      <c r="A79" s="11" t="s">
        <v>412</v>
      </c>
      <c r="B79" s="12" t="s">
        <v>353</v>
      </c>
      <c r="C79" s="13" t="s">
        <v>413</v>
      </c>
      <c r="D79" s="12" t="s">
        <v>414</v>
      </c>
      <c r="E79" s="12" t="s">
        <v>415</v>
      </c>
      <c r="F79" s="12" t="s">
        <v>416</v>
      </c>
      <c r="G79" s="11" t="s">
        <v>17</v>
      </c>
      <c r="H79" s="14" t="n">
        <v>46301</v>
      </c>
      <c r="I79" s="13" t="s">
        <v>37</v>
      </c>
      <c r="J79" s="12"/>
    </row>
    <row r="80" customFormat="false" ht="15" hidden="false" customHeight="false" outlineLevel="0" collapsed="false">
      <c r="A80" s="11" t="s">
        <v>417</v>
      </c>
      <c r="B80" s="12" t="s">
        <v>353</v>
      </c>
      <c r="C80" s="12" t="s">
        <v>418</v>
      </c>
      <c r="D80" s="12" t="s">
        <v>419</v>
      </c>
      <c r="E80" s="12" t="s">
        <v>420</v>
      </c>
      <c r="F80" s="12" t="s">
        <v>421</v>
      </c>
      <c r="G80" s="11" t="s">
        <v>17</v>
      </c>
      <c r="H80" s="14" t="n">
        <v>46301</v>
      </c>
      <c r="I80" s="13" t="s">
        <v>37</v>
      </c>
      <c r="J80" s="12"/>
    </row>
    <row r="81" customFormat="false" ht="15" hidden="false" customHeight="false" outlineLevel="0" collapsed="false">
      <c r="A81" s="11" t="s">
        <v>422</v>
      </c>
      <c r="B81" s="12" t="s">
        <v>423</v>
      </c>
      <c r="C81" s="12" t="s">
        <v>424</v>
      </c>
      <c r="D81" s="12" t="s">
        <v>425</v>
      </c>
      <c r="E81" s="12" t="s">
        <v>426</v>
      </c>
      <c r="F81" s="12" t="s">
        <v>427</v>
      </c>
      <c r="G81" s="11" t="s">
        <v>17</v>
      </c>
      <c r="H81" s="14" t="n">
        <v>46301</v>
      </c>
      <c r="I81" s="13" t="s">
        <v>37</v>
      </c>
      <c r="J81" s="12"/>
    </row>
    <row r="82" customFormat="false" ht="15" hidden="false" customHeight="false" outlineLevel="0" collapsed="false">
      <c r="A82" s="11" t="s">
        <v>428</v>
      </c>
      <c r="B82" s="12" t="s">
        <v>423</v>
      </c>
      <c r="C82" s="12" t="s">
        <v>429</v>
      </c>
      <c r="D82" s="12" t="s">
        <v>430</v>
      </c>
      <c r="E82" s="12" t="s">
        <v>431</v>
      </c>
      <c r="F82" s="12" t="s">
        <v>68</v>
      </c>
      <c r="G82" s="11" t="s">
        <v>17</v>
      </c>
      <c r="H82" s="14" t="n">
        <v>46301</v>
      </c>
      <c r="I82" s="13" t="s">
        <v>37</v>
      </c>
      <c r="J82" s="12"/>
    </row>
    <row r="83" customFormat="false" ht="26.85" hidden="false" customHeight="false" outlineLevel="0" collapsed="false">
      <c r="A83" s="11" t="s">
        <v>432</v>
      </c>
      <c r="B83" s="12" t="s">
        <v>423</v>
      </c>
      <c r="C83" s="12" t="s">
        <v>433</v>
      </c>
      <c r="D83" s="12" t="s">
        <v>434</v>
      </c>
      <c r="E83" s="12" t="s">
        <v>435</v>
      </c>
      <c r="F83" s="12" t="s">
        <v>436</v>
      </c>
      <c r="G83" s="11" t="s">
        <v>17</v>
      </c>
      <c r="H83" s="14" t="n">
        <v>46301</v>
      </c>
      <c r="I83" s="13" t="s">
        <v>37</v>
      </c>
      <c r="J83" s="12"/>
    </row>
    <row r="84" customFormat="false" ht="15" hidden="false" customHeight="false" outlineLevel="0" collapsed="false">
      <c r="A84" s="11" t="s">
        <v>437</v>
      </c>
      <c r="B84" s="12" t="s">
        <v>423</v>
      </c>
      <c r="C84" s="12" t="s">
        <v>438</v>
      </c>
      <c r="D84" s="12" t="s">
        <v>439</v>
      </c>
      <c r="E84" s="12" t="s">
        <v>440</v>
      </c>
      <c r="F84" s="12" t="s">
        <v>107</v>
      </c>
      <c r="G84" s="11" t="s">
        <v>17</v>
      </c>
      <c r="H84" s="14" t="n">
        <v>46301</v>
      </c>
      <c r="I84" s="13" t="s">
        <v>37</v>
      </c>
      <c r="J84" s="12"/>
    </row>
    <row r="85" customFormat="false" ht="15" hidden="false" customHeight="false" outlineLevel="0" collapsed="false">
      <c r="A85" s="11" t="s">
        <v>441</v>
      </c>
      <c r="B85" s="12" t="s">
        <v>423</v>
      </c>
      <c r="C85" s="12" t="s">
        <v>442</v>
      </c>
      <c r="D85" s="12" t="s">
        <v>443</v>
      </c>
      <c r="E85" s="12" t="s">
        <v>57</v>
      </c>
      <c r="F85" s="12" t="s">
        <v>58</v>
      </c>
      <c r="G85" s="11" t="s">
        <v>17</v>
      </c>
      <c r="H85" s="14" t="n">
        <v>46301</v>
      </c>
      <c r="I85" s="13" t="s">
        <v>37</v>
      </c>
      <c r="J85" s="12"/>
    </row>
    <row r="86" customFormat="false" ht="15" hidden="false" customHeight="false" outlineLevel="0" collapsed="false">
      <c r="A86" s="11" t="s">
        <v>444</v>
      </c>
      <c r="B86" s="12" t="s">
        <v>423</v>
      </c>
      <c r="C86" s="13" t="s">
        <v>445</v>
      </c>
      <c r="D86" s="12" t="s">
        <v>446</v>
      </c>
      <c r="E86" s="12" t="s">
        <v>207</v>
      </c>
      <c r="F86" s="12" t="s">
        <v>208</v>
      </c>
      <c r="G86" s="11" t="s">
        <v>17</v>
      </c>
      <c r="H86" s="14" t="n">
        <v>46301</v>
      </c>
      <c r="I86" s="13" t="s">
        <v>37</v>
      </c>
      <c r="J86" s="12"/>
    </row>
    <row r="87" customFormat="false" ht="15" hidden="false" customHeight="false" outlineLevel="0" collapsed="false">
      <c r="A87" s="11" t="s">
        <v>447</v>
      </c>
      <c r="B87" s="12" t="s">
        <v>423</v>
      </c>
      <c r="C87" s="13" t="s">
        <v>448</v>
      </c>
      <c r="D87" s="12" t="s">
        <v>449</v>
      </c>
      <c r="E87" s="12" t="s">
        <v>221</v>
      </c>
      <c r="F87" s="13" t="s">
        <v>450</v>
      </c>
      <c r="G87" s="11" t="s">
        <v>17</v>
      </c>
      <c r="H87" s="14" t="n">
        <v>46301</v>
      </c>
      <c r="I87" s="13" t="s">
        <v>37</v>
      </c>
      <c r="J87" s="12"/>
    </row>
    <row r="88" customFormat="false" ht="15" hidden="false" customHeight="false" outlineLevel="0" collapsed="false">
      <c r="A88" s="11" t="s">
        <v>451</v>
      </c>
      <c r="B88" s="12" t="s">
        <v>423</v>
      </c>
      <c r="C88" s="12" t="s">
        <v>452</v>
      </c>
      <c r="D88" s="12" t="s">
        <v>453</v>
      </c>
      <c r="E88" s="12" t="s">
        <v>238</v>
      </c>
      <c r="F88" s="12" t="s">
        <v>127</v>
      </c>
      <c r="G88" s="11" t="s">
        <v>17</v>
      </c>
      <c r="H88" s="14" t="n">
        <v>46301</v>
      </c>
      <c r="I88" s="13" t="s">
        <v>37</v>
      </c>
      <c r="J88" s="12"/>
    </row>
    <row r="89" customFormat="false" ht="26.85" hidden="false" customHeight="false" outlineLevel="0" collapsed="false">
      <c r="A89" s="11" t="s">
        <v>454</v>
      </c>
      <c r="B89" s="12" t="s">
        <v>455</v>
      </c>
      <c r="C89" s="13" t="s">
        <v>456</v>
      </c>
      <c r="D89" s="13" t="s">
        <v>457</v>
      </c>
      <c r="E89" s="12" t="s">
        <v>458</v>
      </c>
      <c r="F89" s="13" t="s">
        <v>459</v>
      </c>
      <c r="G89" s="11" t="s">
        <v>17</v>
      </c>
      <c r="H89" s="14" t="n">
        <v>46301</v>
      </c>
      <c r="I89" s="13" t="s">
        <v>37</v>
      </c>
      <c r="J89" s="13" t="s">
        <v>460</v>
      </c>
    </row>
    <row r="90" customFormat="false" ht="26.85" hidden="false" customHeight="false" outlineLevel="0" collapsed="false">
      <c r="A90" s="11" t="s">
        <v>461</v>
      </c>
      <c r="B90" s="12" t="s">
        <v>455</v>
      </c>
      <c r="C90" s="13" t="s">
        <v>462</v>
      </c>
      <c r="D90" s="13" t="s">
        <v>463</v>
      </c>
      <c r="E90" s="12" t="s">
        <v>458</v>
      </c>
      <c r="F90" s="12"/>
      <c r="G90" s="15" t="s">
        <v>19</v>
      </c>
      <c r="H90" s="14"/>
      <c r="I90" s="12"/>
      <c r="J90" s="13" t="s">
        <v>464</v>
      </c>
    </row>
    <row r="91" customFormat="false" ht="26.85" hidden="false" customHeight="false" outlineLevel="0" collapsed="false">
      <c r="A91" s="11" t="s">
        <v>465</v>
      </c>
      <c r="B91" s="12" t="s">
        <v>455</v>
      </c>
      <c r="C91" s="13" t="s">
        <v>466</v>
      </c>
      <c r="D91" s="13" t="s">
        <v>467</v>
      </c>
      <c r="E91" s="12" t="s">
        <v>468</v>
      </c>
      <c r="F91" s="12"/>
      <c r="G91" s="15" t="s">
        <v>19</v>
      </c>
      <c r="H91" s="14"/>
      <c r="I91" s="12"/>
      <c r="J91" s="13" t="s">
        <v>469</v>
      </c>
    </row>
    <row r="92" customFormat="false" ht="26.85" hidden="false" customHeight="false" outlineLevel="0" collapsed="false">
      <c r="A92" s="11" t="s">
        <v>470</v>
      </c>
      <c r="B92" s="12" t="s">
        <v>455</v>
      </c>
      <c r="C92" s="13" t="s">
        <v>471</v>
      </c>
      <c r="D92" s="13" t="s">
        <v>472</v>
      </c>
      <c r="E92" s="12" t="s">
        <v>458</v>
      </c>
      <c r="F92" s="12"/>
      <c r="G92" s="15" t="s">
        <v>19</v>
      </c>
      <c r="H92" s="14"/>
      <c r="I92" s="12"/>
      <c r="J92" s="13" t="s">
        <v>473</v>
      </c>
    </row>
    <row r="93" customFormat="false" ht="39.55" hidden="false" customHeight="false" outlineLevel="0" collapsed="false">
      <c r="A93" s="11" t="s">
        <v>474</v>
      </c>
      <c r="B93" s="12" t="s">
        <v>455</v>
      </c>
      <c r="C93" s="13" t="s">
        <v>475</v>
      </c>
      <c r="D93" s="12" t="s">
        <v>476</v>
      </c>
      <c r="E93" s="12" t="s">
        <v>477</v>
      </c>
      <c r="F93" s="12"/>
      <c r="G93" s="15" t="s">
        <v>19</v>
      </c>
      <c r="H93" s="14"/>
      <c r="I93" s="12"/>
      <c r="J93" s="12" t="s">
        <v>478</v>
      </c>
    </row>
  </sheetData>
  <autoFilter ref="A1:J93"/>
  <conditionalFormatting sqref="G2:G93">
    <cfRule type="cellIs" priority="2" operator="equal" aboveAverage="0" equalAverage="0" bottom="0" percent="0" rank="0" text="" dxfId="7">
      <formula>"OK"</formula>
    </cfRule>
    <cfRule type="cellIs" priority="3" operator="equal" aboveAverage="0" equalAverage="0" bottom="0" percent="0" rank="0" text="" dxfId="8">
      <formula>"NG"</formula>
    </cfRule>
    <cfRule type="cellIs" priority="4" operator="equal" aboveAverage="0" equalAverage="0" bottom="0" percent="0" rank="0" text="" dxfId="9">
      <formula>"未実施"</formula>
    </cfRule>
  </conditionalFormatting>
  <dataValidations count="1">
    <dataValidation allowBlank="true" errorStyle="stop" operator="between" showDropDown="false" showErrorMessage="false" showInputMessage="false" sqref="G2:G93" type="list">
      <formula1>"OK,NG,未実施"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2026-10-06T06:06:06Z</dcterms:created>
  <dc:creator>openpyxl</dc:creator>
  <dc:description/>
  <dc:language>en-US</dc:language>
  <cp:lastModifiedBy/>
  <dcterms:modified xsi:type="dcterms:W3CDTF">2026-10-06T06:06:06Z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